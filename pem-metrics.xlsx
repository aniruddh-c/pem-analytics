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M Metrics (UAT)" sheetId="1" r:id="rId4"/>
    <sheet state="visible" name="Breakdown Report IW28" sheetId="2" r:id="rId5"/>
    <sheet state="visible" name="Equipment" sheetId="3" r:id="rId6"/>
    <sheet state="visible" name="Available Hours (DP)" sheetId="4" r:id="rId7"/>
    <sheet state="visible" name="Available Hours (Assy)" sheetId="5" r:id="rId8"/>
    <sheet state="visible" name="PM Orders" sheetId="6" r:id="rId9"/>
  </sheets>
  <definedNames>
    <definedName hidden="1" localSheetId="2" name="_xlnm._FilterDatabase">Equipment!$A$1:$K$575</definedName>
    <definedName hidden="1" localSheetId="5" name="_xlnm._FilterDatabase">'PM Orders'!$A$1:$U$387</definedName>
  </definedNames>
  <calcPr/>
  <extLst>
    <ext uri="GoogleSheetsCustomDataVersion2">
      <go:sheetsCustomData xmlns:go="http://customooxmlschemas.google.com/" r:id="rId10" roundtripDataChecksum="n2y2QFqzxytuEIGTHeGhAnn+r9sdwwur0MkkdlffvGY="/>
    </ext>
  </extLst>
</workbook>
</file>

<file path=xl/sharedStrings.xml><?xml version="1.0" encoding="utf-8"?>
<sst xmlns="http://schemas.openxmlformats.org/spreadsheetml/2006/main" count="22474" uniqueCount="4843">
  <si>
    <t>Typ</t>
  </si>
  <si>
    <t>Equipment Category - "E"</t>
  </si>
  <si>
    <t>Equipment</t>
  </si>
  <si>
    <t>Equipment Category</t>
  </si>
  <si>
    <t>Order</t>
  </si>
  <si>
    <t>Notification</t>
  </si>
  <si>
    <t>Description of technical object</t>
  </si>
  <si>
    <t>Description</t>
  </si>
  <si>
    <t>Malf.Start</t>
  </si>
  <si>
    <t>MalfEnd</t>
  </si>
  <si>
    <t>UAT for the Month of Aug-26</t>
  </si>
  <si>
    <t>MalfStrt</t>
  </si>
  <si>
    <t>Malf.end</t>
  </si>
  <si>
    <t>Downtime</t>
  </si>
  <si>
    <t>Date</t>
  </si>
  <si>
    <t>Time</t>
  </si>
  <si>
    <t>PlS</t>
  </si>
  <si>
    <t>Plnt</t>
  </si>
  <si>
    <t>Ref. Date</t>
  </si>
  <si>
    <t>RfTm</t>
  </si>
  <si>
    <t>Plants</t>
  </si>
  <si>
    <t>Req. End</t>
  </si>
  <si>
    <t>Req. time</t>
  </si>
  <si>
    <t>Un</t>
  </si>
  <si>
    <t>B</t>
  </si>
  <si>
    <t>Sel.</t>
  </si>
  <si>
    <t>Req. Start</t>
  </si>
  <si>
    <t>ABC Ind.</t>
  </si>
  <si>
    <t>FL affectd</t>
  </si>
  <si>
    <t>MAT</t>
  </si>
  <si>
    <t>Functional Loc.</t>
  </si>
  <si>
    <t/>
  </si>
  <si>
    <t>Equipment Availability (%)</t>
  </si>
  <si>
    <t>M2</t>
  </si>
  <si>
    <t>Manufacturer of Asset</t>
  </si>
  <si>
    <t>Unplanned downtime (Hrs)</t>
  </si>
  <si>
    <t>Manufacturer's Serial Number</t>
  </si>
  <si>
    <t>MTBF</t>
  </si>
  <si>
    <t>Model number</t>
  </si>
  <si>
    <t>MTTR</t>
  </si>
  <si>
    <t>PM Compliance %</t>
  </si>
  <si>
    <t>UserStatus</t>
  </si>
  <si>
    <t>A Class Machines only for E Category</t>
  </si>
  <si>
    <t>SysStatus</t>
  </si>
  <si>
    <t>C</t>
  </si>
  <si>
    <t>BD Occurences</t>
  </si>
  <si>
    <t>Plant SPOC Confirmation</t>
  </si>
  <si>
    <t>Remarks</t>
  </si>
  <si>
    <t>Formulae :</t>
  </si>
  <si>
    <t>TASL- NGP</t>
  </si>
  <si>
    <t>5T EOT CRANE-1</t>
  </si>
  <si>
    <t>A</t>
  </si>
  <si>
    <t>KONE CRANES</t>
  </si>
  <si>
    <t>KS 0311</t>
  </si>
  <si>
    <t>5t</t>
  </si>
  <si>
    <t>INST</t>
  </si>
  <si>
    <t>E</t>
  </si>
  <si>
    <t>320000018581</t>
  </si>
  <si>
    <t>120000018696</t>
  </si>
  <si>
    <t>COMPRESSION RIVETING MACHINE_EA COLD</t>
  </si>
  <si>
    <t>Mazak- 1 N01-01</t>
  </si>
  <si>
    <t>door not open</t>
  </si>
  <si>
    <t>US INDUSTRIAL  TOOLS LTD</t>
  </si>
  <si>
    <t>31.08.2026</t>
  </si>
  <si>
    <t>12091</t>
  </si>
  <si>
    <t>08:25:53</t>
  </si>
  <si>
    <t>US150EA-COLD</t>
  </si>
  <si>
    <t>12:24:16</t>
  </si>
  <si>
    <t>MCS</t>
  </si>
  <si>
    <t>04.09.2026</t>
  </si>
  <si>
    <t>08:27:35</t>
  </si>
  <si>
    <t>H</t>
  </si>
  <si>
    <t>X</t>
  </si>
  <si>
    <t>00:00:00</t>
  </si>
  <si>
    <t>1041-MCS-MC</t>
  </si>
  <si>
    <t>PAINT BOOTH-1</t>
  </si>
  <si>
    <t>TAL</t>
  </si>
  <si>
    <t>85000 CFM ASU</t>
  </si>
  <si>
    <t>Months</t>
  </si>
  <si>
    <t>320000018580</t>
  </si>
  <si>
    <t>120000018683</t>
  </si>
  <si>
    <t>Bavius TR 120-3 N01-02</t>
  </si>
  <si>
    <t>TR-3 vacuum not reached</t>
  </si>
  <si>
    <t>10:50:03</t>
  </si>
  <si>
    <t>12:11:00</t>
  </si>
  <si>
    <t>CHILLER PLANT - 100TR FOR PAINT BOOTH</t>
  </si>
  <si>
    <t>10:57:03</t>
  </si>
  <si>
    <t>VOLTAS</t>
  </si>
  <si>
    <t>D000039</t>
  </si>
  <si>
    <t>GSWCDXR1001-1</t>
  </si>
  <si>
    <t>01.09.2026</t>
  </si>
  <si>
    <t>10:50:55</t>
  </si>
  <si>
    <t>LATHE MACHINE</t>
  </si>
  <si>
    <t>ESTEAM</t>
  </si>
  <si>
    <t>030085</t>
  </si>
  <si>
    <t>ETM 410 x 1000</t>
  </si>
  <si>
    <t>Shift Hours</t>
  </si>
  <si>
    <t>320000018728</t>
  </si>
  <si>
    <t>120000018663</t>
  </si>
  <si>
    <t>Equipment Availability % =</t>
  </si>
  <si>
    <t>HURON 5 Axis Machine-2 N01-02</t>
  </si>
  <si>
    <t>vacuum pressure gauge not available</t>
  </si>
  <si>
    <t>09:36:46</t>
  </si>
  <si>
    <t>17:16:31</t>
  </si>
  <si>
    <t>Sum of Available Hours- Breakdown Hours) / Sum of Available Hours</t>
  </si>
  <si>
    <t>CYLINDRICAL GRINDING MACHINE</t>
  </si>
  <si>
    <t>09:38:25</t>
  </si>
  <si>
    <t>SOLCO</t>
  </si>
  <si>
    <t>1089</t>
  </si>
  <si>
    <t>TASL-BLR</t>
  </si>
  <si>
    <t>CMTU 1000 / 150</t>
  </si>
  <si>
    <t>No. of Shifts</t>
  </si>
  <si>
    <t>320000018579</t>
  </si>
  <si>
    <t>VERTICAL MILLING MACHINE</t>
  </si>
  <si>
    <t>120000018685</t>
  </si>
  <si>
    <t>ROUTING MACHINE 5 AXIS #6</t>
  </si>
  <si>
    <t>Tool Clamp &amp; Declamp Switch Stuck</t>
  </si>
  <si>
    <t>Lunch Break + Dinner Break + Tea Break</t>
  </si>
  <si>
    <t>4KS</t>
  </si>
  <si>
    <t>14:00:00</t>
  </si>
  <si>
    <t>15:00:00</t>
  </si>
  <si>
    <t>SMD</t>
  </si>
  <si>
    <t>2001-SMD-RU</t>
  </si>
  <si>
    <t>5T EOT CRANE-3</t>
  </si>
  <si>
    <t>KS001629</t>
  </si>
  <si>
    <t>320000018578</t>
  </si>
  <si>
    <t>120000018673</t>
  </si>
  <si>
    <t>3 AXIS MACHINE JYOTHI HURON NX3222 NVU-C</t>
  </si>
  <si>
    <t>chips convayor motor overload alarm</t>
  </si>
  <si>
    <t>15:10:59</t>
  </si>
  <si>
    <t>16:00:00</t>
  </si>
  <si>
    <t>MSD</t>
  </si>
  <si>
    <t>16:00:31</t>
  </si>
  <si>
    <t>5T EOT CRANE-2</t>
  </si>
  <si>
    <t>Yes</t>
  </si>
  <si>
    <t>KS001577</t>
  </si>
  <si>
    <t>MTBF =</t>
  </si>
  <si>
    <t>2001-MSD-PF</t>
  </si>
  <si>
    <t>Sum of Operating hours - Breakdown hours / Occurences</t>
  </si>
  <si>
    <t>TCOE</t>
  </si>
  <si>
    <t>Shift Overlap</t>
  </si>
  <si>
    <t>320000018584</t>
  </si>
  <si>
    <t>PAINT BOOTH-2</t>
  </si>
  <si>
    <t>120000018674</t>
  </si>
  <si>
    <t>Chips conuyor over load</t>
  </si>
  <si>
    <t>PRISM SURFACE COATINGS</t>
  </si>
  <si>
    <t>100962</t>
  </si>
  <si>
    <t>23:00:00</t>
  </si>
  <si>
    <t>23:40:00</t>
  </si>
  <si>
    <t>HMX57K</t>
  </si>
  <si>
    <t>Total</t>
  </si>
  <si>
    <t>22:48:48</t>
  </si>
  <si>
    <t>Total available hours for production in a day</t>
  </si>
  <si>
    <t>CPC PAINT BOOTH (PLANT-3)</t>
  </si>
  <si>
    <t>PRISM</t>
  </si>
  <si>
    <t>D000008</t>
  </si>
  <si>
    <t>ACEGADXR1001MZ</t>
  </si>
  <si>
    <t>Total operating days in a month</t>
  </si>
  <si>
    <t>320000018720</t>
  </si>
  <si>
    <t>120000018662</t>
  </si>
  <si>
    <t>Bavius 2mtr-N01-02</t>
  </si>
  <si>
    <t>Vacuum pressure drop in auto cycle</t>
  </si>
  <si>
    <t>30.08.2026</t>
  </si>
  <si>
    <t>00:52:25</t>
  </si>
  <si>
    <t>02:20:58</t>
  </si>
  <si>
    <t>CHILLER UNIT ( PLANT-3)</t>
  </si>
  <si>
    <t>The reported unplanned downtime of 5.54 hours is incorrect in actual . The TCOE production team generates/reports breakdown notifications through MES, which is currently the official data source for PEM metrics. Following the implementation of the QR code feature in SAP S/4HANA, the team has aligned and starting the use of SAP Fiori app. We aim to complete the migration to SAP by the end of October 2026; until then, all PEM metrics should continue to be sourced from MES.</t>
  </si>
  <si>
    <t>00:53:14</t>
  </si>
  <si>
    <t>MTTR =</t>
  </si>
  <si>
    <t>Total available hours in a month</t>
  </si>
  <si>
    <t>Breakdown Hours / No of Breakdown Occurrences</t>
  </si>
  <si>
    <t>TSAL</t>
  </si>
  <si>
    <t>CPC SPRAY SYSTEM_WAGNER_EM 20-30.</t>
  </si>
  <si>
    <t>WAGNER</t>
  </si>
  <si>
    <t>10P121072/010</t>
  </si>
  <si>
    <t>EM20-30</t>
  </si>
  <si>
    <t>VMC_3 AXIS_NX3222_JYOTI CNC</t>
  </si>
  <si>
    <t>320000018572</t>
  </si>
  <si>
    <t>JYOTI CNC AUTOMATION</t>
  </si>
  <si>
    <t>120000018579</t>
  </si>
  <si>
    <t>Bavius 4mtr N01-02</t>
  </si>
  <si>
    <t>4898928</t>
  </si>
  <si>
    <t>TCH: RUNTIME ERROR MAGAZINE FLAP CLOSED</t>
  </si>
  <si>
    <t>NX 3222</t>
  </si>
  <si>
    <t>11:04:45</t>
  </si>
  <si>
    <t>10:21:35</t>
  </si>
  <si>
    <t>11:06:38</t>
  </si>
  <si>
    <t>UPS 60 KVA RIELLO</t>
  </si>
  <si>
    <t>REILLO POWER INDIA PVT LTD</t>
  </si>
  <si>
    <t>PM Compliance % =</t>
  </si>
  <si>
    <t>2005PMPT0001952</t>
  </si>
  <si>
    <t xml:space="preserve">Closed PM Orders / Total PM Orders </t>
  </si>
  <si>
    <t>320000018721</t>
  </si>
  <si>
    <t>MPT 60</t>
  </si>
  <si>
    <t>TASL-H01</t>
  </si>
  <si>
    <t>120000018695</t>
  </si>
  <si>
    <t>motor temperature alarm generated.</t>
  </si>
  <si>
    <t>21:05:14</t>
  </si>
  <si>
    <t>21:50:56</t>
  </si>
  <si>
    <t>21:05:51</t>
  </si>
  <si>
    <t>WING FUEL LEAK TESTING EQUIPMENT_EXXSOL</t>
  </si>
  <si>
    <t>SOORI HYDRAULICS</t>
  </si>
  <si>
    <t>SPRAY BOOTH CUM OVEN (BTO)</t>
  </si>
  <si>
    <t>TAKISHA</t>
  </si>
  <si>
    <t>320000018722</t>
  </si>
  <si>
    <t>120000018682</t>
  </si>
  <si>
    <t>Makino A500Z-1 N01-02</t>
  </si>
  <si>
    <t>Auto operation start error maintainance</t>
  </si>
  <si>
    <t>17:26:15</t>
  </si>
  <si>
    <t>18:35:49</t>
  </si>
  <si>
    <t>17:28:50</t>
  </si>
  <si>
    <t>Operating Hours =</t>
  </si>
  <si>
    <t>Available Hours- Breakdown Hours</t>
  </si>
  <si>
    <t>SPRAY BOOTH (BTT)</t>
  </si>
  <si>
    <t>TBAL</t>
  </si>
  <si>
    <t>320000018585</t>
  </si>
  <si>
    <t>120000018681</t>
  </si>
  <si>
    <t>Breton1-Flymill-5Axis CNC</t>
  </si>
  <si>
    <t>c1 drive fault</t>
  </si>
  <si>
    <t>29.08.2026</t>
  </si>
  <si>
    <t>13:30:16</t>
  </si>
  <si>
    <t>18:30:16</t>
  </si>
  <si>
    <t>14:00:16</t>
  </si>
  <si>
    <t>CWC</t>
  </si>
  <si>
    <t>DOT PEEN MAKING</t>
  </si>
  <si>
    <t>SIC Marking</t>
  </si>
  <si>
    <t>EC1</t>
  </si>
  <si>
    <t>1031-CWC-MC</t>
  </si>
  <si>
    <t>Flap Peening Machine</t>
  </si>
  <si>
    <t>SHOCKFORM</t>
  </si>
  <si>
    <t>PRO-3708</t>
  </si>
  <si>
    <t>FPK-PRO-102-90</t>
  </si>
  <si>
    <t>3T EOT CRANE -1</t>
  </si>
  <si>
    <t>KONECRANES</t>
  </si>
  <si>
    <t>320000018586</t>
  </si>
  <si>
    <t>200760061/20</t>
  </si>
  <si>
    <t>120000018661</t>
  </si>
  <si>
    <t>JOBS-GRANSPEED 5-5 AXIS CNC</t>
  </si>
  <si>
    <t>TLMAL</t>
  </si>
  <si>
    <t>KS002016​</t>
  </si>
  <si>
    <t>X- axis bellows tension spring broken</t>
  </si>
  <si>
    <t>17:20:32</t>
  </si>
  <si>
    <t>19:35:54</t>
  </si>
  <si>
    <t>18:02:32</t>
  </si>
  <si>
    <t>3T EOT CRANE -2</t>
  </si>
  <si>
    <t>200760062/20</t>
  </si>
  <si>
    <t>KS002017</t>
  </si>
  <si>
    <t>3T EOT CRANE -3</t>
  </si>
  <si>
    <t>200760063/20</t>
  </si>
  <si>
    <t>KS002018</t>
  </si>
  <si>
    <t>MCA</t>
  </si>
  <si>
    <t>FUME EXTRANCTION SYSTEM</t>
  </si>
  <si>
    <t>WHITENAIR TECHNOLOGIES</t>
  </si>
  <si>
    <t>320000018576</t>
  </si>
  <si>
    <t>120000018691</t>
  </si>
  <si>
    <t>MSK-4 N01-01</t>
  </si>
  <si>
    <t>cut coolant pressure low</t>
  </si>
  <si>
    <t>09:40:55</t>
  </si>
  <si>
    <t>10:36:28</t>
  </si>
  <si>
    <t>10:01:55</t>
  </si>
  <si>
    <t>6.3T EOT CRANE -1</t>
  </si>
  <si>
    <t>Spark line</t>
  </si>
  <si>
    <t>DGE0T20006300234</t>
  </si>
  <si>
    <t>09:40:09</t>
  </si>
  <si>
    <t>STAHL</t>
  </si>
  <si>
    <t>6.3T EOT CRANE -2</t>
  </si>
  <si>
    <t>DGE0T20006300235</t>
  </si>
  <si>
    <t>320000018606</t>
  </si>
  <si>
    <t>120000018690</t>
  </si>
  <si>
    <t>MSK-5 N01-01</t>
  </si>
  <si>
    <t>cycle not start</t>
  </si>
  <si>
    <t>11:00:00</t>
  </si>
  <si>
    <t>03:58:18</t>
  </si>
  <si>
    <t>09:53:53</t>
  </si>
  <si>
    <t>DIMPLING MACHINE 1</t>
  </si>
  <si>
    <t>US Industrial Tools</t>
  </si>
  <si>
    <t>92011.2</t>
  </si>
  <si>
    <t>US150EA-Hot</t>
  </si>
  <si>
    <t>06:30:25</t>
  </si>
  <si>
    <t>DIMPLING MACHINE 2</t>
  </si>
  <si>
    <t>92011.1</t>
  </si>
  <si>
    <t>320000018603</t>
  </si>
  <si>
    <t>120000018599</t>
  </si>
  <si>
    <t>Bavius TR 120-1 N01-02</t>
  </si>
  <si>
    <t>C-Axis leakage</t>
  </si>
  <si>
    <t>10:30:00</t>
  </si>
  <si>
    <t>03:31:11</t>
  </si>
  <si>
    <t>07:11:54</t>
  </si>
  <si>
    <t>COMPRESSION RIVETER M/C 1</t>
  </si>
  <si>
    <t>9110.1</t>
  </si>
  <si>
    <t>US150EA</t>
  </si>
  <si>
    <t>COMPRESSION RIVETER M/C 2</t>
  </si>
  <si>
    <t>320000018604</t>
  </si>
  <si>
    <t>120000018693</t>
  </si>
  <si>
    <t>Bavius TR 120-2 N01-02</t>
  </si>
  <si>
    <t>Handwheel blinking</t>
  </si>
  <si>
    <t>9110.2</t>
  </si>
  <si>
    <t>12:30:00</t>
  </si>
  <si>
    <t>03:37:05</t>
  </si>
  <si>
    <t>12:22:09</t>
  </si>
  <si>
    <t>COMPRESSION RIVETER SMALL 150-12</t>
  </si>
  <si>
    <t>US industrial</t>
  </si>
  <si>
    <t>NIL</t>
  </si>
  <si>
    <t>US 150-12</t>
  </si>
  <si>
    <t>320000018602</t>
  </si>
  <si>
    <t>120000018576</t>
  </si>
  <si>
    <t>HOT OVEN-1</t>
  </si>
  <si>
    <t>Vacuum not reached alarm comes</t>
  </si>
  <si>
    <t>NOT AVAILABLE</t>
  </si>
  <si>
    <t>03:00:00</t>
  </si>
  <si>
    <t>03:19:40</t>
  </si>
  <si>
    <t>07:08:46</t>
  </si>
  <si>
    <t>SALT SPRAY APPARATUS</t>
  </si>
  <si>
    <t>KIRAN TEST MEASURES</t>
  </si>
  <si>
    <t>320000018560</t>
  </si>
  <si>
    <t>120000018670</t>
  </si>
  <si>
    <t>MACHINING CENTRE 3 AXIS HAAS VF6 #8</t>
  </si>
  <si>
    <t>Tool stuck into Spindle at VF6-3axis</t>
  </si>
  <si>
    <t>08:00:00</t>
  </si>
  <si>
    <t>AUTOCLAVE</t>
  </si>
  <si>
    <t>Scholz</t>
  </si>
  <si>
    <t>47233</t>
  </si>
  <si>
    <t>D-48653</t>
  </si>
  <si>
    <t>320000018568</t>
  </si>
  <si>
    <t>PAA_ TRANSPORTER</t>
  </si>
  <si>
    <t>120000018577</t>
  </si>
  <si>
    <t>HYDROFORM LARGE PRESS-AVURE</t>
  </si>
  <si>
    <t>Rubber press machine tray A not working</t>
  </si>
  <si>
    <t>SEW</t>
  </si>
  <si>
    <t>23:30:00</t>
  </si>
  <si>
    <t>19:43:50</t>
  </si>
  <si>
    <t>2001-SMD-FR</t>
  </si>
  <si>
    <t>PAA_ELECTRICAL PANEL</t>
  </si>
  <si>
    <t>Square mag</t>
  </si>
  <si>
    <t>Nil</t>
  </si>
  <si>
    <t>320000018567</t>
  </si>
  <si>
    <t>120000018628</t>
  </si>
  <si>
    <t>5-AXIS DMG MORI DMC 160U-A</t>
  </si>
  <si>
    <t>Laser not reay</t>
  </si>
  <si>
    <t>15:30:00</t>
  </si>
  <si>
    <t>M2M PAINT BOOTH</t>
  </si>
  <si>
    <t>19:00:00</t>
  </si>
  <si>
    <t>LEO</t>
  </si>
  <si>
    <t>13:37:29</t>
  </si>
  <si>
    <t>M2M MASKANT BOOTH</t>
  </si>
  <si>
    <t>320000018566</t>
  </si>
  <si>
    <t>120000018578</t>
  </si>
  <si>
    <t>Coolant leakage</t>
  </si>
  <si>
    <t>20:00:00</t>
  </si>
  <si>
    <t>21:00:00</t>
  </si>
  <si>
    <t>21:26:31</t>
  </si>
  <si>
    <t>PAINT KITCHEN_ OVEN</t>
  </si>
  <si>
    <t>Leo</t>
  </si>
  <si>
    <t>320000018588</t>
  </si>
  <si>
    <t>120000018595</t>
  </si>
  <si>
    <t>Breton2-Eagle-5 Axis CNC</t>
  </si>
  <si>
    <t>nck comunication failure alarm &amp; dada pc</t>
  </si>
  <si>
    <t>28.08.2026</t>
  </si>
  <si>
    <t>02:00:35</t>
  </si>
  <si>
    <t>03:15:40</t>
  </si>
  <si>
    <t>02:29:35</t>
  </si>
  <si>
    <t>C-SCAN_OLD_QC ROOM</t>
  </si>
  <si>
    <t>C-Scan( VIVACE Sonic PVT Ltd</t>
  </si>
  <si>
    <t>53772</t>
  </si>
  <si>
    <t>SOFG-UT</t>
  </si>
  <si>
    <t>WATER JET CUTTING MACHINE-FLOW</t>
  </si>
  <si>
    <t>FLOW</t>
  </si>
  <si>
    <t>120478</t>
  </si>
  <si>
    <t>MACH2B</t>
  </si>
  <si>
    <t>EACT</t>
  </si>
  <si>
    <t>320000018587</t>
  </si>
  <si>
    <t>120000018598</t>
  </si>
  <si>
    <t>ROUTING MACHINE 3 AXIS #1</t>
  </si>
  <si>
    <t>C axis return cooling line not OK</t>
  </si>
  <si>
    <t>THERMWOOD</t>
  </si>
  <si>
    <t>14:15:33</t>
  </si>
  <si>
    <t>15:10:00</t>
  </si>
  <si>
    <t>C533290907</t>
  </si>
  <si>
    <t>C53</t>
  </si>
  <si>
    <t>15:12:33</t>
  </si>
  <si>
    <t>5 AXIS CNC NIBBLE/PUNCH PRESS</t>
  </si>
  <si>
    <t>TRUMPF</t>
  </si>
  <si>
    <t>TP0042</t>
  </si>
  <si>
    <t>TRUPUNCH 5000</t>
  </si>
  <si>
    <t>320000018657</t>
  </si>
  <si>
    <t>120000018659</t>
  </si>
  <si>
    <t>HMC - H5000 2 (HMC-03) N01-01</t>
  </si>
  <si>
    <t>feed automatically 0%</t>
  </si>
  <si>
    <t>23:50:21</t>
  </si>
  <si>
    <t>00:10:14</t>
  </si>
  <si>
    <t>00:32:21</t>
  </si>
  <si>
    <t>08:22:36</t>
  </si>
  <si>
    <t>00:33:52</t>
  </si>
  <si>
    <t>C67DT35550805</t>
  </si>
  <si>
    <t>M67 55DT</t>
  </si>
  <si>
    <t>HAAS</t>
  </si>
  <si>
    <t>20873</t>
  </si>
  <si>
    <t>VF6</t>
  </si>
  <si>
    <t>320000018904</t>
  </si>
  <si>
    <t>120000018654</t>
  </si>
  <si>
    <t>Y HARDWARE FAULT OF ACTIVE ENCODER</t>
  </si>
  <si>
    <t>07:30:00</t>
  </si>
  <si>
    <t>04:01:37</t>
  </si>
  <si>
    <t>07:35:05</t>
  </si>
  <si>
    <t>MACHINING CENTRE 5 AXIS VF6TR #9</t>
  </si>
  <si>
    <t>31447</t>
  </si>
  <si>
    <t>VF6TR</t>
  </si>
  <si>
    <t>07:36:18</t>
  </si>
  <si>
    <t>3 AXIS MACHINE JYOTHI HURON</t>
  </si>
  <si>
    <t>JYOTHI HURON</t>
  </si>
  <si>
    <t>60006031-2012K</t>
  </si>
  <si>
    <t>EX-F-1680</t>
  </si>
  <si>
    <t>AVLB</t>
  </si>
  <si>
    <t>320000019025</t>
  </si>
  <si>
    <t>120000018652</t>
  </si>
  <si>
    <t>MSK-3 N01-01</t>
  </si>
  <si>
    <t>TOOL PULL OUT</t>
  </si>
  <si>
    <t>03:10:08</t>
  </si>
  <si>
    <t>11:08:27</t>
  </si>
  <si>
    <t>MACHINING CENTRE 3 AXIS HAAS VF3B #12</t>
  </si>
  <si>
    <t>05:27:08</t>
  </si>
  <si>
    <t>1071679</t>
  </si>
  <si>
    <t>VF3B</t>
  </si>
  <si>
    <t>05:27:46</t>
  </si>
  <si>
    <t>03:10:46</t>
  </si>
  <si>
    <t>MACHINING CENTRE 5 AXIS VF6TR #17</t>
  </si>
  <si>
    <t>28498</t>
  </si>
  <si>
    <t>320000018648</t>
  </si>
  <si>
    <t>120000018660</t>
  </si>
  <si>
    <t>pallet change issue.</t>
  </si>
  <si>
    <t>12:18:51</t>
  </si>
  <si>
    <t>02:17:57</t>
  </si>
  <si>
    <t>AL. HEAT TREATMENT FURNACE - GRIEVE-A</t>
  </si>
  <si>
    <t>GRIEVE</t>
  </si>
  <si>
    <t>101454B1010</t>
  </si>
  <si>
    <t>12:19:48</t>
  </si>
  <si>
    <t>WTC-WALK-IN</t>
  </si>
  <si>
    <t>AL. HEAT TREATMENT FURNACE - GRIEVE-B</t>
  </si>
  <si>
    <t>101454A1010</t>
  </si>
  <si>
    <t>320000018531</t>
  </si>
  <si>
    <t>120000018627</t>
  </si>
  <si>
    <t>Air pressure low alarm comes.</t>
  </si>
  <si>
    <t>16:31:08</t>
  </si>
  <si>
    <t>01:40:18</t>
  </si>
  <si>
    <t>AL. HEAT TREATMENT FURNACE-SECO WARWICK</t>
  </si>
  <si>
    <t>16:32:11</t>
  </si>
  <si>
    <t>SECO/WARWICK</t>
  </si>
  <si>
    <t>231-10A</t>
  </si>
  <si>
    <t>ANODIZE / ALODINE TANK LINE</t>
  </si>
  <si>
    <t>KAMTRESS</t>
  </si>
  <si>
    <t>K10015</t>
  </si>
  <si>
    <t>CUSTOM TO SPEC</t>
  </si>
  <si>
    <t>320000018647</t>
  </si>
  <si>
    <t>120000018608</t>
  </si>
  <si>
    <t>Makino A500Z-2 N01-02</t>
  </si>
  <si>
    <t>abnormal sound comes in running part whi</t>
  </si>
  <si>
    <t>10:00:00</t>
  </si>
  <si>
    <t>01:58:28</t>
  </si>
  <si>
    <t>CHEMICAL MILLING AND ETCHING</t>
  </si>
  <si>
    <t>10:16:06</t>
  </si>
  <si>
    <t>NA</t>
  </si>
  <si>
    <t>10:17:03</t>
  </si>
  <si>
    <t>ROLLING MACHINE - DAVI</t>
  </si>
  <si>
    <t>DAVI</t>
  </si>
  <si>
    <t>21130001</t>
  </si>
  <si>
    <t>MAV-3-HDC AER 4027/S</t>
  </si>
  <si>
    <t>320000018565</t>
  </si>
  <si>
    <t>120000018626</t>
  </si>
  <si>
    <t>Rubber Press machine not working</t>
  </si>
  <si>
    <t>20:30:00</t>
  </si>
  <si>
    <t>TURNING CENTRE - 40 INCH-HAAS SL40</t>
  </si>
  <si>
    <t>10:33:07</t>
  </si>
  <si>
    <t>63180</t>
  </si>
  <si>
    <t>SL40</t>
  </si>
  <si>
    <t>320000018415</t>
  </si>
  <si>
    <t>AVURE</t>
  </si>
  <si>
    <t>120000018596</t>
  </si>
  <si>
    <t>3 AXIS CNC MACHINING CENTER JOBS SPEEDER</t>
  </si>
  <si>
    <t>100533</t>
  </si>
  <si>
    <t>spindle cooling line not ok</t>
  </si>
  <si>
    <t>QFC 1X2X800</t>
  </si>
  <si>
    <t>04:25:32</t>
  </si>
  <si>
    <t>05:00:00</t>
  </si>
  <si>
    <t>3 AXIS MACHINE JYOTHI HURON NX3222 - A</t>
  </si>
  <si>
    <t>60006455</t>
  </si>
  <si>
    <t>NX3222</t>
  </si>
  <si>
    <t>320000018558</t>
  </si>
  <si>
    <t>120000018624</t>
  </si>
  <si>
    <t>MAZAKI-500-1 Variaxis Machining Center</t>
  </si>
  <si>
    <t>Hydraulic unit pressure down</t>
  </si>
  <si>
    <t>22:00:00</t>
  </si>
  <si>
    <t>AES</t>
  </si>
  <si>
    <t>NC PIPE BENDING MACHINE-EATON LEONARD</t>
  </si>
  <si>
    <t>EATON LEONARD</t>
  </si>
  <si>
    <t>2041/860801</t>
  </si>
  <si>
    <t>VB 42-ELEC</t>
  </si>
  <si>
    <t>2001-AES-MC</t>
  </si>
  <si>
    <t>320000018557</t>
  </si>
  <si>
    <t>120000018625</t>
  </si>
  <si>
    <t>tool height .2mm variation observed</t>
  </si>
  <si>
    <t>16:30:00</t>
  </si>
  <si>
    <t>GRUENBERG SMALL AGE OVEN</t>
  </si>
  <si>
    <t>GRUENBERG</t>
  </si>
  <si>
    <t>9499</t>
  </si>
  <si>
    <t>T-45H960</t>
  </si>
  <si>
    <t>MACHINING CENTRE 4 AXIS HAAS VF6 #9.1</t>
  </si>
  <si>
    <t>1093728</t>
  </si>
  <si>
    <t>HAAS VF6</t>
  </si>
  <si>
    <t>320000018556</t>
  </si>
  <si>
    <t>120000018656</t>
  </si>
  <si>
    <t>DOOSAN-1 PUMA V8300MR 3 Axis VTL</t>
  </si>
  <si>
    <t>ATC unit air leackeage issue</t>
  </si>
  <si>
    <t>09:00:00</t>
  </si>
  <si>
    <t>JOBS ITALY</t>
  </si>
  <si>
    <t>146004812880431</t>
  </si>
  <si>
    <t>SPEEDER</t>
  </si>
  <si>
    <t>2001-AES-TC</t>
  </si>
  <si>
    <t>5 AXIS CNC MACHINING CENTER JOBS EVER7</t>
  </si>
  <si>
    <t>2550000812910631</t>
  </si>
  <si>
    <t>EVER 7</t>
  </si>
  <si>
    <t>320000018555</t>
  </si>
  <si>
    <t>120000018609</t>
  </si>
  <si>
    <t>Axis SP1 drive fault</t>
  </si>
  <si>
    <t>3 AXIS MACHINING CENTRE NX3222 COBHAM-B</t>
  </si>
  <si>
    <t>22:00:01</t>
  </si>
  <si>
    <t>JYOTI HURON</t>
  </si>
  <si>
    <t>60012128</t>
  </si>
  <si>
    <t>5 AXIS MACHINING CENTER SNK RB3M</t>
  </si>
  <si>
    <t>SNK (SHIN NIPPON KOKI)</t>
  </si>
  <si>
    <t>B5K4241</t>
  </si>
  <si>
    <t>RB3M</t>
  </si>
  <si>
    <t>320000018554</t>
  </si>
  <si>
    <t>120000018597</t>
  </si>
  <si>
    <t>3-AXIS VMC RDX20(JYOTI)</t>
  </si>
  <si>
    <t>SPINDLE CHILLR NOT ON ALARAM</t>
  </si>
  <si>
    <t>5-AXIS MILLING VARIAXIS I-800</t>
  </si>
  <si>
    <t>MAZAK</t>
  </si>
  <si>
    <t>264626</t>
  </si>
  <si>
    <t>2001-MSD-GC</t>
  </si>
  <si>
    <t>VARIAXIS I 800</t>
  </si>
  <si>
    <t>TURN-MILL MULTIAXIS i-200</t>
  </si>
  <si>
    <t>320000018704</t>
  </si>
  <si>
    <t>264742</t>
  </si>
  <si>
    <t>120000018640</t>
  </si>
  <si>
    <t>INTEGREX I-200</t>
  </si>
  <si>
    <t>HMC - H5000 3  (HMC 4) N01-01</t>
  </si>
  <si>
    <t>tool change door not open</t>
  </si>
  <si>
    <t>27.08.2026</t>
  </si>
  <si>
    <t>03.09.2026</t>
  </si>
  <si>
    <t>11:27:33</t>
  </si>
  <si>
    <t>12:18:44</t>
  </si>
  <si>
    <t>11:30:07</t>
  </si>
  <si>
    <t>MAZAK VCN 535C-II VMC 1</t>
  </si>
  <si>
    <t>264628</t>
  </si>
  <si>
    <t>NEXUS 535 C-II</t>
  </si>
  <si>
    <t>MAZAK VCN 535C-II VMC 2</t>
  </si>
  <si>
    <t>264627</t>
  </si>
  <si>
    <t>320000018443</t>
  </si>
  <si>
    <t>120000018637</t>
  </si>
  <si>
    <t>HMC - H5000 (HMC 6)(N01-01)</t>
  </si>
  <si>
    <t>atc cylinder leakage</t>
  </si>
  <si>
    <t>04:40:41</t>
  </si>
  <si>
    <t>11:50:14</t>
  </si>
  <si>
    <t>FANUC WIRECUT EDM MACHINE</t>
  </si>
  <si>
    <t>02:31:41</t>
  </si>
  <si>
    <t>FANUC</t>
  </si>
  <si>
    <t>04:42:21</t>
  </si>
  <si>
    <t>P15400044</t>
  </si>
  <si>
    <t>A04B-0240-B201</t>
  </si>
  <si>
    <t>MAZAK QTN-200</t>
  </si>
  <si>
    <t>YAMAZAKIMAZAK</t>
  </si>
  <si>
    <t>266470</t>
  </si>
  <si>
    <t>Quick Turn Nexus 200</t>
  </si>
  <si>
    <t>320000018488</t>
  </si>
  <si>
    <t>120000018639</t>
  </si>
  <si>
    <t>MSK-1 N01-01</t>
  </si>
  <si>
    <t>COOLANT PRESSURE NOT PROPER</t>
  </si>
  <si>
    <t>Mazak Megaturn Nexus 900M</t>
  </si>
  <si>
    <t>Yamazaki Mazak India Ltd</t>
  </si>
  <si>
    <t>09:30:00</t>
  </si>
  <si>
    <t>263873</t>
  </si>
  <si>
    <t>14:24:27</t>
  </si>
  <si>
    <t>MTN900M</t>
  </si>
  <si>
    <t>08:39:49</t>
  </si>
  <si>
    <t>08:40:56</t>
  </si>
  <si>
    <t>Modig- Extrusion Mill</t>
  </si>
  <si>
    <t>Modig</t>
  </si>
  <si>
    <t>160454</t>
  </si>
  <si>
    <t>HHV 2</t>
  </si>
  <si>
    <t>5-AXIS MILLING VARIAXIS I-800 - 2</t>
  </si>
  <si>
    <t>320000018356</t>
  </si>
  <si>
    <t>120000018643</t>
  </si>
  <si>
    <t>Yamazaki Mazak</t>
  </si>
  <si>
    <t>PALLET STUCK</t>
  </si>
  <si>
    <t>283813</t>
  </si>
  <si>
    <t>Variaxis i-800</t>
  </si>
  <si>
    <t>14:15:25</t>
  </si>
  <si>
    <t>19:56:37</t>
  </si>
  <si>
    <t>14:17:27</t>
  </si>
  <si>
    <t>High Pressure testing tank-GEM</t>
  </si>
  <si>
    <t>Gem pressure SystemsPvt Ltd</t>
  </si>
  <si>
    <t>2017-732</t>
  </si>
  <si>
    <t>GPS/17-04-456</t>
  </si>
  <si>
    <t>MAZAK 5-AXIS I-600</t>
  </si>
  <si>
    <t>281313</t>
  </si>
  <si>
    <t>320000018357</t>
  </si>
  <si>
    <t>Variaxis i600</t>
  </si>
  <si>
    <t>120000018642</t>
  </si>
  <si>
    <t>Mazak- 2 N01-01</t>
  </si>
  <si>
    <t>MAGZINE SHIFTER THERMAL TRIP</t>
  </si>
  <si>
    <t>12:55:00</t>
  </si>
  <si>
    <t>13:35:00</t>
  </si>
  <si>
    <t>12:57:28</t>
  </si>
  <si>
    <t>DMG MORI</t>
  </si>
  <si>
    <t>12670000213</t>
  </si>
  <si>
    <t>DMC 160U</t>
  </si>
  <si>
    <t>320000018465</t>
  </si>
  <si>
    <t>120000018594</t>
  </si>
  <si>
    <t>Waiting for HMI alaram come</t>
  </si>
  <si>
    <t>19:08:22</t>
  </si>
  <si>
    <t>19:40:15</t>
  </si>
  <si>
    <t>CCC LINE-KAMTRESS</t>
  </si>
  <si>
    <t>K17008</t>
  </si>
  <si>
    <t>19:09:44</t>
  </si>
  <si>
    <t>Paint Booth (LEO SUREFACE COATING)</t>
  </si>
  <si>
    <t>LEO SUREFACE COATING</t>
  </si>
  <si>
    <t>320000018752</t>
  </si>
  <si>
    <t>120000018646</t>
  </si>
  <si>
    <t>Air pressure supply 1 not ok</t>
  </si>
  <si>
    <t>16:12:03</t>
  </si>
  <si>
    <t>08:42:21</t>
  </si>
  <si>
    <t>DEEP FREEZER-2 (BLUE STAR)</t>
  </si>
  <si>
    <t>BLUE STAR</t>
  </si>
  <si>
    <t>2</t>
  </si>
  <si>
    <t>16:12:44</t>
  </si>
  <si>
    <t>3 AXIS JYOTI VMC 850NVU-1</t>
  </si>
  <si>
    <t>M/S JYOTI CNC AUTOMATION LTD</t>
  </si>
  <si>
    <t>60026891</t>
  </si>
  <si>
    <t>VMC 850 NVU</t>
  </si>
  <si>
    <t>320000018753</t>
  </si>
  <si>
    <t>120000018607</t>
  </si>
  <si>
    <t>chips conveyor overload control tripped</t>
  </si>
  <si>
    <t>16:14:55</t>
  </si>
  <si>
    <t>08:59:06</t>
  </si>
  <si>
    <t>3 AXIS JYOTI VMC 850NVU-2</t>
  </si>
  <si>
    <t>16:16:13</t>
  </si>
  <si>
    <t>60026890</t>
  </si>
  <si>
    <t>320000018466</t>
  </si>
  <si>
    <t>120000018641</t>
  </si>
  <si>
    <t>Router Machine 3 N01-02</t>
  </si>
  <si>
    <t>ROUTER 3 DUST COLLCTOR PIPE BROKEN</t>
  </si>
  <si>
    <t>11:39:11</t>
  </si>
  <si>
    <t>3 AXIS JYOTI VMC 850 NVU-3</t>
  </si>
  <si>
    <t>21:21:04</t>
  </si>
  <si>
    <t>60027670</t>
  </si>
  <si>
    <t>11:40:35</t>
  </si>
  <si>
    <t>1041-SMD-RU</t>
  </si>
  <si>
    <t>3 AXIS JYOTI VMC 850NVU-4</t>
  </si>
  <si>
    <t>60027671</t>
  </si>
  <si>
    <t>320000018478</t>
  </si>
  <si>
    <t>120000018649</t>
  </si>
  <si>
    <t>4-AXIS CNC ROUTER-FLEXICAM</t>
  </si>
  <si>
    <t>16:40:00</t>
  </si>
  <si>
    <t>19:40:00</t>
  </si>
  <si>
    <t>FLEXICAM</t>
  </si>
  <si>
    <t>18066701</t>
  </si>
  <si>
    <t>ULTIMATE VM1450</t>
  </si>
  <si>
    <t>Mazak Machine Tools</t>
  </si>
  <si>
    <t>299792</t>
  </si>
  <si>
    <t>VARIAXIS I-500</t>
  </si>
  <si>
    <t>320000018409</t>
  </si>
  <si>
    <t>120000018592</t>
  </si>
  <si>
    <t>04:30:00</t>
  </si>
  <si>
    <t>05:30:00</t>
  </si>
  <si>
    <t>MAZAKI-500-2 Variaxis Machining Center</t>
  </si>
  <si>
    <t>04:58:41</t>
  </si>
  <si>
    <t>299793</t>
  </si>
  <si>
    <t>Doosan PVT LTD</t>
  </si>
  <si>
    <t>320000018553</t>
  </si>
  <si>
    <t>120000018593</t>
  </si>
  <si>
    <t>MT0051-000153</t>
  </si>
  <si>
    <t>5-AXIS HAAS UMC 750 -A</t>
  </si>
  <si>
    <t>rotary breake engagement failure</t>
  </si>
  <si>
    <t>PUMA V8300MR</t>
  </si>
  <si>
    <t>10:00:02</t>
  </si>
  <si>
    <t>17:30:29</t>
  </si>
  <si>
    <t>17:30:49</t>
  </si>
  <si>
    <t>17:30:48</t>
  </si>
  <si>
    <t>DOOSAN-2 PUMA V8300MR 3 Axis VTL</t>
  </si>
  <si>
    <t>MT0051-000154</t>
  </si>
  <si>
    <t>320000018552</t>
  </si>
  <si>
    <t>120000018575</t>
  </si>
  <si>
    <t>Spindle chiller not on at RDX</t>
  </si>
  <si>
    <t>20:30:51</t>
  </si>
  <si>
    <t>21:30:17</t>
  </si>
  <si>
    <t>4-AXIS VMC JYOTI 1880</t>
  </si>
  <si>
    <t>JYOTI CNC AUTOMATION LTD</t>
  </si>
  <si>
    <t>21:30:50</t>
  </si>
  <si>
    <t>60031442-2019</t>
  </si>
  <si>
    <t>21:30:21</t>
  </si>
  <si>
    <t>VMC 1880</t>
  </si>
  <si>
    <t>PlPl</t>
  </si>
  <si>
    <t>Maint. item text</t>
  </si>
  <si>
    <t>Strat.</t>
  </si>
  <si>
    <t>Start date</t>
  </si>
  <si>
    <t>Plnd. date</t>
  </si>
  <si>
    <t>Completion</t>
  </si>
  <si>
    <t>Cost Ctr</t>
  </si>
  <si>
    <t>Type</t>
  </si>
  <si>
    <t>MAZAK I-500-3 Variaxis Machining Center</t>
  </si>
  <si>
    <t>Material</t>
  </si>
  <si>
    <t>Call No.</t>
  </si>
  <si>
    <t>CoCd</t>
  </si>
  <si>
    <t>299809</t>
  </si>
  <si>
    <t>Location</t>
  </si>
  <si>
    <t>320000018410</t>
  </si>
  <si>
    <t>Work Ctr</t>
  </si>
  <si>
    <t>120000018605</t>
  </si>
  <si>
    <t>MAZAK VTL MEGA TURN 900 M</t>
  </si>
  <si>
    <t>ATC malfunction alarm</t>
  </si>
  <si>
    <t>330000051470</t>
  </si>
  <si>
    <t>13:30:00</t>
  </si>
  <si>
    <t>60032100-2019</t>
  </si>
  <si>
    <t>NX3222 NVU</t>
  </si>
  <si>
    <t>13:28:04</t>
  </si>
  <si>
    <t>MAZAK I-500-4 Variaxis Machining Center</t>
  </si>
  <si>
    <t>299808</t>
  </si>
  <si>
    <t>320000018430</t>
  </si>
  <si>
    <t>120000018610</t>
  </si>
  <si>
    <t>re-cooling aggricate unit alarm</t>
  </si>
  <si>
    <t>26.08.2026</t>
  </si>
  <si>
    <t>Monthly PM</t>
  </si>
  <si>
    <t>QTY</t>
  </si>
  <si>
    <t>11:19:39</t>
  </si>
  <si>
    <t>09:12:43</t>
  </si>
  <si>
    <t>01.08.2026</t>
  </si>
  <si>
    <t>L201010043</t>
  </si>
  <si>
    <t>PM03</t>
  </si>
  <si>
    <t>11:21:49</t>
  </si>
  <si>
    <t>5-AXIS DMG DMU 65</t>
  </si>
  <si>
    <t>38</t>
  </si>
  <si>
    <t>1500</t>
  </si>
  <si>
    <t>DMG  MORI</t>
  </si>
  <si>
    <t>QC LAB</t>
  </si>
  <si>
    <t>12140019473</t>
  </si>
  <si>
    <t>1501</t>
  </si>
  <si>
    <t>DMU 65 MONO BLOCK</t>
  </si>
  <si>
    <t>TLMALPEM</t>
  </si>
  <si>
    <t>330000051471</t>
  </si>
  <si>
    <t>1165357</t>
  </si>
  <si>
    <t>UMC 750</t>
  </si>
  <si>
    <t>320000018754</t>
  </si>
  <si>
    <t>120000018589</t>
  </si>
  <si>
    <t>atc malfunction</t>
  </si>
  <si>
    <t>08:00:51</t>
  </si>
  <si>
    <t>09:17:08</t>
  </si>
  <si>
    <t>08:16:51</t>
  </si>
  <si>
    <t>TURN MILL AX-200 (JYOTI )</t>
  </si>
  <si>
    <t>08:17:45</t>
  </si>
  <si>
    <t>60033382-2019</t>
  </si>
  <si>
    <t>AX 200</t>
  </si>
  <si>
    <t>37</t>
  </si>
  <si>
    <t>330000051061</t>
  </si>
  <si>
    <t>60033568-2019</t>
  </si>
  <si>
    <t>RDX20</t>
  </si>
  <si>
    <t>5-AXIS DMG MORI DMC 160U-B</t>
  </si>
  <si>
    <t>QUARTERLY PREVENTIVE MAINTENANCE</t>
  </si>
  <si>
    <t>TSD</t>
  </si>
  <si>
    <t>MONTH</t>
  </si>
  <si>
    <t>320000018429</t>
  </si>
  <si>
    <t>120000018613</t>
  </si>
  <si>
    <t>LUBRICATION PRESSURE DROP</t>
  </si>
  <si>
    <t>10:50:00</t>
  </si>
  <si>
    <t>09:06:27</t>
  </si>
  <si>
    <t>S302011604</t>
  </si>
  <si>
    <t>13:58:40</t>
  </si>
  <si>
    <t>16</t>
  </si>
  <si>
    <t>2000</t>
  </si>
  <si>
    <t>TUBE BEND</t>
  </si>
  <si>
    <t>2001</t>
  </si>
  <si>
    <t>13:59:35</t>
  </si>
  <si>
    <t>TS-03-01</t>
  </si>
  <si>
    <t>12670000563</t>
  </si>
  <si>
    <t>330000051474</t>
  </si>
  <si>
    <t>DMC 160 U DUO BLOCK</t>
  </si>
  <si>
    <t>MONTHLY PREVENTIVE MAINTENANCE</t>
  </si>
  <si>
    <t>320000018432</t>
  </si>
  <si>
    <t>120000018617</t>
  </si>
  <si>
    <t>Lubrication pressure drop</t>
  </si>
  <si>
    <t>47</t>
  </si>
  <si>
    <t>09:26:26</t>
  </si>
  <si>
    <t>15:37:19</t>
  </si>
  <si>
    <t>330000051476</t>
  </si>
  <si>
    <t>15:38:12</t>
  </si>
  <si>
    <t>5-AXIS DMG DMU 85</t>
  </si>
  <si>
    <t>14:30:12</t>
  </si>
  <si>
    <t>12160012983</t>
  </si>
  <si>
    <t>DMU 85 MONO BLOCK</t>
  </si>
  <si>
    <t>RADIOGRAPHY</t>
  </si>
  <si>
    <t>TRIMETRICS TECHNOLOGIES</t>
  </si>
  <si>
    <t>320000018407</t>
  </si>
  <si>
    <t>120000018616</t>
  </si>
  <si>
    <t>ATC ARM STUCK</t>
  </si>
  <si>
    <t>11:30:00</t>
  </si>
  <si>
    <t>14:39:28</t>
  </si>
  <si>
    <t>Breton Matrix 1000 K60</t>
  </si>
  <si>
    <t>13:56:43</t>
  </si>
  <si>
    <t>Breton S.P.A</t>
  </si>
  <si>
    <t>75719</t>
  </si>
  <si>
    <t>Matrix 1000 K60-6M</t>
  </si>
  <si>
    <t>14:11:20</t>
  </si>
  <si>
    <t>S304011811</t>
  </si>
  <si>
    <t>48</t>
  </si>
  <si>
    <t>CLEAN ROOM-AES</t>
  </si>
  <si>
    <t>M/C LINE-1</t>
  </si>
  <si>
    <t>building</t>
  </si>
  <si>
    <t>MS-03-03</t>
  </si>
  <si>
    <t>-</t>
  </si>
  <si>
    <t>330000051064</t>
  </si>
  <si>
    <t>320000018431</t>
  </si>
  <si>
    <t>120000018591</t>
  </si>
  <si>
    <t>WAITING FOR HMI ALL LIGHT START BLINKING</t>
  </si>
  <si>
    <t>09:21:01</t>
  </si>
  <si>
    <t>05:14:42</t>
  </si>
  <si>
    <t>05:16:52</t>
  </si>
  <si>
    <t>HMC-Heller-MCH 250 (HMC-01)(N01-01)</t>
  </si>
  <si>
    <t>HELLER</t>
  </si>
  <si>
    <t>49620</t>
  </si>
  <si>
    <t>18</t>
  </si>
  <si>
    <t>MCH 250</t>
  </si>
  <si>
    <t>330000051479</t>
  </si>
  <si>
    <t>320000018428</t>
  </si>
  <si>
    <t>120000018529</t>
  </si>
  <si>
    <t>HMC - H5000 1 (HMC-02) N01-01</t>
  </si>
  <si>
    <t>air  pressure not ok</t>
  </si>
  <si>
    <t>51096</t>
  </si>
  <si>
    <t>09:50:00</t>
  </si>
  <si>
    <t>H 5000</t>
  </si>
  <si>
    <t>08:59:50</t>
  </si>
  <si>
    <t>10:40:31</t>
  </si>
  <si>
    <t>10:41:04</t>
  </si>
  <si>
    <t>S204010026</t>
  </si>
  <si>
    <t>ROUTNGLINE</t>
  </si>
  <si>
    <t>SM-01-05</t>
  </si>
  <si>
    <t>330000050379</t>
  </si>
  <si>
    <t>50937</t>
  </si>
  <si>
    <t>HALF YEARLY PREVENTIVE MAINTENANCE</t>
  </si>
  <si>
    <t>320000018649</t>
  </si>
  <si>
    <t>120000018528</t>
  </si>
  <si>
    <t>Jyoti VMC-01 N01-02</t>
  </si>
  <si>
    <t>8</t>
  </si>
  <si>
    <t>tool changing issue</t>
  </si>
  <si>
    <t>02:00:00</t>
  </si>
  <si>
    <t>02:26:09</t>
  </si>
  <si>
    <t>330000049044</t>
  </si>
  <si>
    <t>02:33:43</t>
  </si>
  <si>
    <t>02:34:49</t>
  </si>
  <si>
    <t>YEARLY PREVENTIVE MAINTENANCE</t>
  </si>
  <si>
    <t>56363</t>
  </si>
  <si>
    <t>4</t>
  </si>
  <si>
    <t>330000051380</t>
  </si>
  <si>
    <t>HMC - H5000 (HMC 7)(N01-01)</t>
  </si>
  <si>
    <t>320000018590</t>
  </si>
  <si>
    <t>120000018634</t>
  </si>
  <si>
    <t>56364</t>
  </si>
  <si>
    <t>SP Spindle drive faul alarm in ROUTER 3</t>
  </si>
  <si>
    <t>21:25:16</t>
  </si>
  <si>
    <t>03:22:07</t>
  </si>
  <si>
    <t>21:42:16</t>
  </si>
  <si>
    <t>21:45:37</t>
  </si>
  <si>
    <t>S304011831</t>
  </si>
  <si>
    <t>MSK</t>
  </si>
  <si>
    <t>823</t>
  </si>
  <si>
    <t>HU63A</t>
  </si>
  <si>
    <t>M/C LINE-5</t>
  </si>
  <si>
    <t>MS-03-11</t>
  </si>
  <si>
    <t>330000051066</t>
  </si>
  <si>
    <t>MSK-2 N01-01</t>
  </si>
  <si>
    <t>824</t>
  </si>
  <si>
    <t>320000018652</t>
  </si>
  <si>
    <t>120000018587</t>
  </si>
  <si>
    <t>Pallet not change</t>
  </si>
  <si>
    <t>25.08.2026</t>
  </si>
  <si>
    <t>03:07:49</t>
  </si>
  <si>
    <t>825</t>
  </si>
  <si>
    <t>23:56:17</t>
  </si>
  <si>
    <t>330000051067</t>
  </si>
  <si>
    <t>23:57:46</t>
  </si>
  <si>
    <t>25360</t>
  </si>
  <si>
    <t>HCN 8800</t>
  </si>
  <si>
    <t>S304011832</t>
  </si>
  <si>
    <t>25361</t>
  </si>
  <si>
    <t>320000018435</t>
  </si>
  <si>
    <t>120000018580</t>
  </si>
  <si>
    <t>HMC-Heller-HF3500  (HMC 8) N01-01</t>
  </si>
  <si>
    <t>M/C LINE-3</t>
  </si>
  <si>
    <t>coolant high pressure alarm</t>
  </si>
  <si>
    <t>MS-03-12</t>
  </si>
  <si>
    <t>07:00:00</t>
  </si>
  <si>
    <t>09:57:25</t>
  </si>
  <si>
    <t>07:59:00</t>
  </si>
  <si>
    <t>330000050380</t>
  </si>
  <si>
    <t>07:59:43</t>
  </si>
  <si>
    <t>Jobs-1 N01-01</t>
  </si>
  <si>
    <t>JOBS</t>
  </si>
  <si>
    <t>J1318</t>
  </si>
  <si>
    <t>LINX - 30</t>
  </si>
  <si>
    <t>320000018651</t>
  </si>
  <si>
    <t>120000018583</t>
  </si>
  <si>
    <t>vaccume issue</t>
  </si>
  <si>
    <t>330000051381</t>
  </si>
  <si>
    <t>02:59:46</t>
  </si>
  <si>
    <t>15:35:58</t>
  </si>
  <si>
    <t>Jobs-2 N01-01</t>
  </si>
  <si>
    <t>15:36:50</t>
  </si>
  <si>
    <t>J1335</t>
  </si>
  <si>
    <t>Jobs-3 N01-01</t>
  </si>
  <si>
    <t>J1411</t>
  </si>
  <si>
    <t>320000018892</t>
  </si>
  <si>
    <t>330000051382</t>
  </si>
  <si>
    <t>120000018468</t>
  </si>
  <si>
    <t>HURON 5 Axis Machine-1 N01-02</t>
  </si>
  <si>
    <t>machine spiral conveyor broken</t>
  </si>
  <si>
    <t>03:20:00</t>
  </si>
  <si>
    <t>02:13:23</t>
  </si>
  <si>
    <t>03:16:59</t>
  </si>
  <si>
    <t>03:18:11</t>
  </si>
  <si>
    <t>S304011834</t>
  </si>
  <si>
    <t>M/C LINE-2</t>
  </si>
  <si>
    <t>58084</t>
  </si>
  <si>
    <t>HF3500</t>
  </si>
  <si>
    <t>MS-03-13</t>
  </si>
  <si>
    <t>320000018437</t>
  </si>
  <si>
    <t>120000018581</t>
  </si>
  <si>
    <t>conveyor breck</t>
  </si>
  <si>
    <t>03:10:00</t>
  </si>
  <si>
    <t>10:15:46</t>
  </si>
  <si>
    <t>330000051463</t>
  </si>
  <si>
    <t>11:14:03</t>
  </si>
  <si>
    <t>11:16:47</t>
  </si>
  <si>
    <t>Bavius</t>
  </si>
  <si>
    <t>200833</t>
  </si>
  <si>
    <t>HBZ 200/100</t>
  </si>
  <si>
    <t>Monthly Prev. Maint. for HMC - H5000 5</t>
  </si>
  <si>
    <t>03.08.2026</t>
  </si>
  <si>
    <t>Bavius 2mtr -02 N01-02</t>
  </si>
  <si>
    <t>A303110107</t>
  </si>
  <si>
    <t>12000063</t>
  </si>
  <si>
    <t>1000</t>
  </si>
  <si>
    <t>M/C SHOP-1</t>
  </si>
  <si>
    <t>1041</t>
  </si>
  <si>
    <t>320000018650</t>
  </si>
  <si>
    <t>1202</t>
  </si>
  <si>
    <t>120000018584</t>
  </si>
  <si>
    <t>tool clamping issue</t>
  </si>
  <si>
    <t>17:00:00</t>
  </si>
  <si>
    <t>330000051461</t>
  </si>
  <si>
    <t>02:44:53</t>
  </si>
  <si>
    <t>16:17:55</t>
  </si>
  <si>
    <t>Bavius 2mtr -03 N01-02</t>
  </si>
  <si>
    <t>16:18:12</t>
  </si>
  <si>
    <t>12000064</t>
  </si>
  <si>
    <t>Monthly Prev. Maint. For Makino1</t>
  </si>
  <si>
    <t>02.08.2026</t>
  </si>
  <si>
    <t>A304110215</t>
  </si>
  <si>
    <t>M/C SHOP 2</t>
  </si>
  <si>
    <t>200938</t>
  </si>
  <si>
    <t>1119</t>
  </si>
  <si>
    <t>HBZ 400/100</t>
  </si>
  <si>
    <t>320000018438</t>
  </si>
  <si>
    <t>120000018439</t>
  </si>
  <si>
    <t>COOLANT MOTOR NOT WORKING.</t>
  </si>
  <si>
    <t>330000051040</t>
  </si>
  <si>
    <t>08:10:00</t>
  </si>
  <si>
    <t>10:22:31</t>
  </si>
  <si>
    <t>07:40:58</t>
  </si>
  <si>
    <t>07:42:07</t>
  </si>
  <si>
    <t>12000055</t>
  </si>
  <si>
    <t>TR-120</t>
  </si>
  <si>
    <t>LECTRA-1-Prepreg Cutting</t>
  </si>
  <si>
    <t>QUARTERLY PREV MAINT FOR 103120000020</t>
  </si>
  <si>
    <t>A303081723</t>
  </si>
  <si>
    <t>CNC</t>
  </si>
  <si>
    <t>1031</t>
  </si>
  <si>
    <t>LECTRA 1</t>
  </si>
  <si>
    <t>320000018460</t>
  </si>
  <si>
    <t>120000018567</t>
  </si>
  <si>
    <t>330000051404</t>
  </si>
  <si>
    <t>Breton Matrix 1000 K80</t>
  </si>
  <si>
    <t>12000056</t>
  </si>
  <si>
    <t>Running time suddenly power off</t>
  </si>
  <si>
    <t>22:30:00</t>
  </si>
  <si>
    <t>23:20:00</t>
  </si>
  <si>
    <t>23:40:42</t>
  </si>
  <si>
    <t>12000059</t>
  </si>
  <si>
    <t>PUMA V8300-7</t>
  </si>
  <si>
    <t>Preventive Maintenance plan</t>
  </si>
  <si>
    <t>MSH</t>
  </si>
  <si>
    <t>1</t>
  </si>
  <si>
    <t>BAY1</t>
  </si>
  <si>
    <t>1002</t>
  </si>
  <si>
    <t>HURON</t>
  </si>
  <si>
    <t>320000018589</t>
  </si>
  <si>
    <t>330000051436</t>
  </si>
  <si>
    <t>2290</t>
  </si>
  <si>
    <t>120000018560</t>
  </si>
  <si>
    <t>gantry axis synchronized alarm</t>
  </si>
  <si>
    <t>24.08.2026</t>
  </si>
  <si>
    <t>11:03:29</t>
  </si>
  <si>
    <t>12:54:00</t>
  </si>
  <si>
    <t>11:22:29</t>
  </si>
  <si>
    <t>12:54:10</t>
  </si>
  <si>
    <t>DOOSAN - Puma SMX5100XL</t>
  </si>
  <si>
    <t>DOOSAN-01-Bay3-Preventive Maint-11001390</t>
  </si>
  <si>
    <t>R06290</t>
  </si>
  <si>
    <t>MNT</t>
  </si>
  <si>
    <t>A102023200</t>
  </si>
  <si>
    <t>SAF-MACH</t>
  </si>
  <si>
    <t>TCOE_PEM</t>
  </si>
  <si>
    <t>330000051481</t>
  </si>
  <si>
    <t>Jyoti</t>
  </si>
  <si>
    <t>60015412-2015</t>
  </si>
  <si>
    <t>320000019540</t>
  </si>
  <si>
    <t>NX3215</t>
  </si>
  <si>
    <t>120000018292</t>
  </si>
  <si>
    <t>ENCODER ERROR</t>
  </si>
  <si>
    <t>06:00:00</t>
  </si>
  <si>
    <t>14.08.2026</t>
  </si>
  <si>
    <t>02:42:35</t>
  </si>
  <si>
    <t>HVAC-1</t>
  </si>
  <si>
    <t>27.09.2026</t>
  </si>
  <si>
    <t>14:52:29</t>
  </si>
  <si>
    <t>MONTHLY PM CHECK FOR HVAC-1</t>
  </si>
  <si>
    <t>18.08.2026</t>
  </si>
  <si>
    <t>ASS</t>
  </si>
  <si>
    <t>02:42:59</t>
  </si>
  <si>
    <t>Jyoti VMC-02 N01-02</t>
  </si>
  <si>
    <t>B401010004</t>
  </si>
  <si>
    <t>60015926-2015</t>
  </si>
  <si>
    <t>2500</t>
  </si>
  <si>
    <t>SHOP FLR-1</t>
  </si>
  <si>
    <t>2501</t>
  </si>
  <si>
    <t>FIN1-1</t>
  </si>
  <si>
    <t>330000051482</t>
  </si>
  <si>
    <t>MAKINO</t>
  </si>
  <si>
    <t>72</t>
  </si>
  <si>
    <t>320000018759</t>
  </si>
  <si>
    <t>A500Z</t>
  </si>
  <si>
    <t>120000018555</t>
  </si>
  <si>
    <t>HVAC-5</t>
  </si>
  <si>
    <t>MONTHLY PM CHECK FOR HVAC-5</t>
  </si>
  <si>
    <t>APC HOLD AND PALLET NOT CHANGE</t>
  </si>
  <si>
    <t>10:15:04</t>
  </si>
  <si>
    <t>21:13:59</t>
  </si>
  <si>
    <t>SHOP FLR-2</t>
  </si>
  <si>
    <t>VFPOS5</t>
  </si>
  <si>
    <t>21:16:11</t>
  </si>
  <si>
    <t>330000048997</t>
  </si>
  <si>
    <t>73</t>
  </si>
  <si>
    <t>AIR COMPRESSOR - 5</t>
  </si>
  <si>
    <t>Mazak VMC-01 N01-02</t>
  </si>
  <si>
    <t>YEARLY PREV MAINT</t>
  </si>
  <si>
    <t>OUL</t>
  </si>
  <si>
    <t>Mazak</t>
  </si>
  <si>
    <t>D15267547</t>
  </si>
  <si>
    <t>FJV35/120</t>
  </si>
  <si>
    <t>320000018782</t>
  </si>
  <si>
    <t>120000018466</t>
  </si>
  <si>
    <t>AIR PRESURES DROP ISSUE</t>
  </si>
  <si>
    <t>UTILIBUILD</t>
  </si>
  <si>
    <t>12:58:41</t>
  </si>
  <si>
    <t>14:33:46</t>
  </si>
  <si>
    <t>12:59:21</t>
  </si>
  <si>
    <t>Mazak VMC-02 N01-02</t>
  </si>
  <si>
    <t>D15267548</t>
  </si>
  <si>
    <t>DG Set-3-500 KVA-CUMMINS</t>
  </si>
  <si>
    <t>Mazak-5-Axis N01-02</t>
  </si>
  <si>
    <t>D07288756</t>
  </si>
  <si>
    <t>Variaxis I 700</t>
  </si>
  <si>
    <t>320000018354</t>
  </si>
  <si>
    <t>AMC For DG 03 500KVA</t>
  </si>
  <si>
    <t>120000018359</t>
  </si>
  <si>
    <t>UTL</t>
  </si>
  <si>
    <t>warming reintank be13.0</t>
  </si>
  <si>
    <t>08:22:56</t>
  </si>
  <si>
    <t>A303081701</t>
  </si>
  <si>
    <t>9</t>
  </si>
  <si>
    <t>SWITCHGEAR</t>
  </si>
  <si>
    <t>14:01:41</t>
  </si>
  <si>
    <t>TASL_PEM</t>
  </si>
  <si>
    <t>08:23:29</t>
  </si>
  <si>
    <t>Paintshop generic-2 UTL</t>
  </si>
  <si>
    <t>MAZAK I700</t>
  </si>
  <si>
    <t>DG Set-5-1500 KVA-CUMMINS</t>
  </si>
  <si>
    <t>AMC For DG 05 1500 KVA</t>
  </si>
  <si>
    <t>Router Machine 1 N01-02</t>
  </si>
  <si>
    <t>15056565</t>
  </si>
  <si>
    <t>Ultamate</t>
  </si>
  <si>
    <t>320000018898</t>
  </si>
  <si>
    <t>120000018561</t>
  </si>
  <si>
    <t>below cover replecement .</t>
  </si>
  <si>
    <t>03:03:27</t>
  </si>
  <si>
    <t>17:05:06</t>
  </si>
  <si>
    <t>jyoti 5-Axis K3X8 N01-02</t>
  </si>
  <si>
    <t>DG Set-6-1500 KVA-CUMMINS</t>
  </si>
  <si>
    <t>60019058</t>
  </si>
  <si>
    <t>K3X8</t>
  </si>
  <si>
    <t>AMC For DG 06 1500 KVA</t>
  </si>
  <si>
    <t>17:06:26</t>
  </si>
  <si>
    <t>V 900-1 N01-02</t>
  </si>
  <si>
    <t>43399/02/2012</t>
  </si>
  <si>
    <t>V 900</t>
  </si>
  <si>
    <t>320000018483</t>
  </si>
  <si>
    <t>120000018547</t>
  </si>
  <si>
    <t>Routing 1 cylinder sensor probelm</t>
  </si>
  <si>
    <t>07:20:00</t>
  </si>
  <si>
    <t>11:19:21</t>
  </si>
  <si>
    <t>07:35:40</t>
  </si>
  <si>
    <t>DG Set-7;1010 KVA;CUMMINS</t>
  </si>
  <si>
    <t>V 900-2 N01-02</t>
  </si>
  <si>
    <t>AMC For DG 07 1010 KVA</t>
  </si>
  <si>
    <t>11:20:54</t>
  </si>
  <si>
    <t>43400/02/2012</t>
  </si>
  <si>
    <t>07:38:52</t>
  </si>
  <si>
    <t>A303081707</t>
  </si>
  <si>
    <t>DG</t>
  </si>
  <si>
    <t>330000051384</t>
  </si>
  <si>
    <t>Welding Robo,Wire Feeder &amp; mnpt N01-02</t>
  </si>
  <si>
    <t>FRONIUS</t>
  </si>
  <si>
    <t>AWL/16/026</t>
  </si>
  <si>
    <t>320000018421</t>
  </si>
  <si>
    <t>120000018523</t>
  </si>
  <si>
    <t>PL1</t>
  </si>
  <si>
    <t>feed mode alarm issue</t>
  </si>
  <si>
    <t>A201010143</t>
  </si>
  <si>
    <t>Autoclave-1-Scholz-Curing</t>
  </si>
  <si>
    <t>SCHOLZ</t>
  </si>
  <si>
    <t>43657</t>
  </si>
  <si>
    <t>PAINTING</t>
  </si>
  <si>
    <t>1001</t>
  </si>
  <si>
    <t>TASLMANT</t>
  </si>
  <si>
    <t>06:41:45</t>
  </si>
  <si>
    <t>330000051646</t>
  </si>
  <si>
    <t>Oven-1-Precons-Curing</t>
  </si>
  <si>
    <t>PRECONS</t>
  </si>
  <si>
    <t>040V04</t>
  </si>
  <si>
    <t>51</t>
  </si>
  <si>
    <t>Autoclave - 2-Scholz-Curing</t>
  </si>
  <si>
    <t>44588</t>
  </si>
  <si>
    <t>AE/ABP04AC02</t>
  </si>
  <si>
    <t>330000051647</t>
  </si>
  <si>
    <t>Spray Paintbooth-Precision-FACC Bonding</t>
  </si>
  <si>
    <t>PRECISION</t>
  </si>
  <si>
    <t>320000018422</t>
  </si>
  <si>
    <t>120000018522</t>
  </si>
  <si>
    <t>Through coolant malfunction &amp; abnormal</t>
  </si>
  <si>
    <t>07:50:00</t>
  </si>
  <si>
    <t>08:30:00</t>
  </si>
  <si>
    <t>Oven-Paintbooth-Precision-FACC Bonding</t>
  </si>
  <si>
    <t>CS AEROTHERM</t>
  </si>
  <si>
    <t>35</t>
  </si>
  <si>
    <t>330000051489</t>
  </si>
  <si>
    <t>06:33:47</t>
  </si>
  <si>
    <t>Monthly Prev. Maint. for Heller-HF3500</t>
  </si>
  <si>
    <t>LECTRA</t>
  </si>
  <si>
    <t>8A2527-2008</t>
  </si>
  <si>
    <t>A304111201</t>
  </si>
  <si>
    <t>VT-TT-FP-72</t>
  </si>
  <si>
    <t>MTP013</t>
  </si>
  <si>
    <t>330000051649</t>
  </si>
  <si>
    <t>5Axis-Thermwood-M67-105</t>
  </si>
  <si>
    <t>M67-105</t>
  </si>
  <si>
    <t>320000018630</t>
  </si>
  <si>
    <t>120000018399</t>
  </si>
  <si>
    <t>chiller water pipe damage water</t>
  </si>
  <si>
    <t>13:00:00</t>
  </si>
  <si>
    <t>SPD</t>
  </si>
  <si>
    <t>Nilfisk Dust Collector-CNC's-B-4B</t>
  </si>
  <si>
    <t>NILFISK</t>
  </si>
  <si>
    <t>2001-SPD-PO</t>
  </si>
  <si>
    <t>320000018423</t>
  </si>
  <si>
    <t>120000018465</t>
  </si>
  <si>
    <t>HAAS UMC 750-B</t>
  </si>
  <si>
    <t>spindle chiller not on</t>
  </si>
  <si>
    <t>BRETON-FLY MILL</t>
  </si>
  <si>
    <t>41192 - 2008</t>
  </si>
  <si>
    <t>1600/2T/DD/K45</t>
  </si>
  <si>
    <t>S304011852</t>
  </si>
  <si>
    <t>7</t>
  </si>
  <si>
    <t>MS-03-18</t>
  </si>
  <si>
    <t>10:42:28</t>
  </si>
  <si>
    <t>330000051513</t>
  </si>
  <si>
    <t>CMM-5 Axis 3D-CARL ZIESS</t>
  </si>
  <si>
    <t>CARL ZIESS</t>
  </si>
  <si>
    <t>A36559</t>
  </si>
  <si>
    <t>MMZ B 25 40 15</t>
  </si>
  <si>
    <t>AIR COMPRESSOR -6_CAPACITY - 275 CFM</t>
  </si>
  <si>
    <t>MONTHLY PREV MAINT</t>
  </si>
  <si>
    <t>320000019805</t>
  </si>
  <si>
    <t>120000018538</t>
  </si>
  <si>
    <t>APC CONFIRM  SIGNAL ABNORMAL</t>
  </si>
  <si>
    <t>23.08.2026</t>
  </si>
  <si>
    <t>29.09.2026</t>
  </si>
  <si>
    <t>02:50:58</t>
  </si>
  <si>
    <t>15:59:16</t>
  </si>
  <si>
    <t>TRINCO-Dry Abrasive Blast Machine</t>
  </si>
  <si>
    <t>02:52:55</t>
  </si>
  <si>
    <t>330000051484</t>
  </si>
  <si>
    <t>TRINCO</t>
  </si>
  <si>
    <t>66162</t>
  </si>
  <si>
    <t>EOT CRANE - 2</t>
  </si>
  <si>
    <t>MONTHLY_PM_EOT CRANE - 2</t>
  </si>
  <si>
    <t>10.08.2026</t>
  </si>
  <si>
    <t>A201271843</t>
  </si>
  <si>
    <t>Autoclave-4-Scholz-Curing</t>
  </si>
  <si>
    <t>28</t>
  </si>
  <si>
    <t>320000018909</t>
  </si>
  <si>
    <t>45016/1</t>
  </si>
  <si>
    <t>120000018541</t>
  </si>
  <si>
    <t>BY2</t>
  </si>
  <si>
    <t>1004</t>
  </si>
  <si>
    <t>CHIP CONVEYOR DRAM FILTER BROKEN</t>
  </si>
  <si>
    <t>H07PEM</t>
  </si>
  <si>
    <t>04:42:18</t>
  </si>
  <si>
    <t>04:56:29</t>
  </si>
  <si>
    <t>330000051287</t>
  </si>
  <si>
    <t>04:58:54</t>
  </si>
  <si>
    <t>Waterjet-WMC 3090-Flow</t>
  </si>
  <si>
    <t>50I</t>
  </si>
  <si>
    <t>WMC3090</t>
  </si>
  <si>
    <t>320000018907</t>
  </si>
  <si>
    <t>120000018545</t>
  </si>
  <si>
    <t>COOLANT HIGH PRESSURE ABSENT OR FLOW NOT</t>
  </si>
  <si>
    <t>PL3</t>
  </si>
  <si>
    <t>04:22:04</t>
  </si>
  <si>
    <t>14:37:18</t>
  </si>
  <si>
    <t>Autoclave-3-TERRUZZI-Curing</t>
  </si>
  <si>
    <t>A201010743</t>
  </si>
  <si>
    <t>14:38:48</t>
  </si>
  <si>
    <t>TERRUZZI</t>
  </si>
  <si>
    <t>4579</t>
  </si>
  <si>
    <t>ASSY</t>
  </si>
  <si>
    <t>330000051677</t>
  </si>
  <si>
    <t>3Axis Thermwood-M45</t>
  </si>
  <si>
    <t>320000018638</t>
  </si>
  <si>
    <t>120000018542</t>
  </si>
  <si>
    <t>Air leakage</t>
  </si>
  <si>
    <t>510</t>
  </si>
  <si>
    <t>M45</t>
  </si>
  <si>
    <t>05:15:23</t>
  </si>
  <si>
    <t>06:26:06</t>
  </si>
  <si>
    <t>05:16:07</t>
  </si>
  <si>
    <t>Mobile Ultrasonic Scanner CSCA</t>
  </si>
  <si>
    <t>330000051379</t>
  </si>
  <si>
    <t>BOEING</t>
  </si>
  <si>
    <t>008</t>
  </si>
  <si>
    <t>320000018901</t>
  </si>
  <si>
    <t>Monthly Prev. Maint. for HMC - H5000 3</t>
  </si>
  <si>
    <t>120000018536</t>
  </si>
  <si>
    <t>dust collector up inprogrees feed and re</t>
  </si>
  <si>
    <t>05.08.2026</t>
  </si>
  <si>
    <t>03:29:57</t>
  </si>
  <si>
    <t>55</t>
  </si>
  <si>
    <t>00:33:03</t>
  </si>
  <si>
    <t>330000051241</t>
  </si>
  <si>
    <t>Oven-1-Therelek-B-4B</t>
  </si>
  <si>
    <t>THERELEK</t>
  </si>
  <si>
    <t>Mazak- Variaxis C 600-4</t>
  </si>
  <si>
    <t>PREV MAINT PLAN 11000814</t>
  </si>
  <si>
    <t>A302021141</t>
  </si>
  <si>
    <t>BAY 2</t>
  </si>
  <si>
    <t>MZK-C600</t>
  </si>
  <si>
    <t>Autoclave-5-TERRUZZI-Curing</t>
  </si>
  <si>
    <t>330000051243</t>
  </si>
  <si>
    <t>4581</t>
  </si>
  <si>
    <t>320000018536</t>
  </si>
  <si>
    <t>120000018437</t>
  </si>
  <si>
    <t>Bavius 4mtr-02  N01-02</t>
  </si>
  <si>
    <t>safety light barrier occupied</t>
  </si>
  <si>
    <t>23:50:00</t>
  </si>
  <si>
    <t>05:25:32</t>
  </si>
  <si>
    <t>Mazak Integrex i-630V-08</t>
  </si>
  <si>
    <t>Bi Monthly Prev maintenance plan</t>
  </si>
  <si>
    <t>01:40:37</t>
  </si>
  <si>
    <t>01:43:28</t>
  </si>
  <si>
    <t>14</t>
  </si>
  <si>
    <t>BAY-1</t>
  </si>
  <si>
    <t>Bupi Cleaner- Aqueeous Industrial</t>
  </si>
  <si>
    <t>MZK-01</t>
  </si>
  <si>
    <t>BUPI CLEANER</t>
  </si>
  <si>
    <t>13525</t>
  </si>
  <si>
    <t>330000051242</t>
  </si>
  <si>
    <t>PT DB 30-SCHTP</t>
  </si>
  <si>
    <t>PUMA V8300-6</t>
  </si>
  <si>
    <t>Spary Paint Booth-Dalby</t>
  </si>
  <si>
    <t>DALBY</t>
  </si>
  <si>
    <t>320000018367</t>
  </si>
  <si>
    <t>120000018398</t>
  </si>
  <si>
    <t>display not working</t>
  </si>
  <si>
    <t>14:45:44</t>
  </si>
  <si>
    <t>15:50:25</t>
  </si>
  <si>
    <t>330000048406</t>
  </si>
  <si>
    <t>15:50:11</t>
  </si>
  <si>
    <t>15:50:10</t>
  </si>
  <si>
    <t>Oven-Curing -Dalby</t>
  </si>
  <si>
    <t>DOLBY</t>
  </si>
  <si>
    <t>11</t>
  </si>
  <si>
    <t>PAINT BOOTH-3_ROBOTIC_B737 FC</t>
  </si>
  <si>
    <t>AMC FOR ROBO BOOTH</t>
  </si>
  <si>
    <t>Fill C-Scan-Ultrasonic Inspection M/C</t>
  </si>
  <si>
    <t>320000018365</t>
  </si>
  <si>
    <t>FILL</t>
  </si>
  <si>
    <t>A101010600</t>
  </si>
  <si>
    <t>120000018397</t>
  </si>
  <si>
    <t>Automatic Riveting Machine(ARM)</t>
  </si>
  <si>
    <t>AN001808</t>
  </si>
  <si>
    <t>LUBE bubble</t>
  </si>
  <si>
    <t>22.08.2026</t>
  </si>
  <si>
    <t>12:31:39</t>
  </si>
  <si>
    <t>FC-PAINT</t>
  </si>
  <si>
    <t>330000051553</t>
  </si>
  <si>
    <t>1001-H01-MAINT-P2</t>
  </si>
  <si>
    <t>Surfex Abrasive blasting</t>
  </si>
  <si>
    <t>SURFACE FINISHING EQUIPMENT CO</t>
  </si>
  <si>
    <t>352522</t>
  </si>
  <si>
    <t>AIR COMPRESSOR-1</t>
  </si>
  <si>
    <t>MONTHLY PM CHECK FOR AIR COMPRESSOR-1</t>
  </si>
  <si>
    <t>320000018377</t>
  </si>
  <si>
    <t>04.08.2026</t>
  </si>
  <si>
    <t>120000018520</t>
  </si>
  <si>
    <t>Axis module genral alarm(c1 drive fault)</t>
  </si>
  <si>
    <t>50</t>
  </si>
  <si>
    <t>09:00:49</t>
  </si>
  <si>
    <t>10:50:12</t>
  </si>
  <si>
    <t>COMP RM</t>
  </si>
  <si>
    <t>Perforation Machine-Pluritec-MEGA-4500</t>
  </si>
  <si>
    <t>TBAL_PEM</t>
  </si>
  <si>
    <t>09:30:49</t>
  </si>
  <si>
    <t>PLURITEC</t>
  </si>
  <si>
    <t>5801899</t>
  </si>
  <si>
    <t>MEGA-4500</t>
  </si>
  <si>
    <t>330000051543</t>
  </si>
  <si>
    <t>BRETON</t>
  </si>
  <si>
    <t>58066</t>
  </si>
  <si>
    <t>EAGLE 1500/27 SK45</t>
  </si>
  <si>
    <t>49</t>
  </si>
  <si>
    <t>320000018227</t>
  </si>
  <si>
    <t>120000018138</t>
  </si>
  <si>
    <t>PALLET ARM UP RS. MALF</t>
  </si>
  <si>
    <t>Reticulation Machine-TECH-CON</t>
  </si>
  <si>
    <t>330000051521</t>
  </si>
  <si>
    <t>TECH-CON</t>
  </si>
  <si>
    <t>03:30:00</t>
  </si>
  <si>
    <t>88145-15-000-000</t>
  </si>
  <si>
    <t>15:14:30</t>
  </si>
  <si>
    <t>EOT CRANE - 3</t>
  </si>
  <si>
    <t>MONTHLY_PM_EOT CRANE - 3</t>
  </si>
  <si>
    <t>16:25:43</t>
  </si>
  <si>
    <t>J1379</t>
  </si>
  <si>
    <t>15:15:40</t>
  </si>
  <si>
    <t>J1379 GRAND SPEED</t>
  </si>
  <si>
    <t>BY3</t>
  </si>
  <si>
    <t>330000051615</t>
  </si>
  <si>
    <t>Autoclave-6-SCHOLZ-Curing</t>
  </si>
  <si>
    <t>46910</t>
  </si>
  <si>
    <t>320000018707</t>
  </si>
  <si>
    <t>120000018506</t>
  </si>
  <si>
    <t>MONTHLY PM CHECK FOR FUME EXTRACTION SYS</t>
  </si>
  <si>
    <t>SEA</t>
  </si>
  <si>
    <t>pallet not change</t>
  </si>
  <si>
    <t>Perforation Machine 6Spindle-Schmoll</t>
  </si>
  <si>
    <t>02:03:20</t>
  </si>
  <si>
    <t>13:55:55</t>
  </si>
  <si>
    <t>SCHMOL</t>
  </si>
  <si>
    <t>B401010009</t>
  </si>
  <si>
    <t>09609</t>
  </si>
  <si>
    <t>N6-125-XXL</t>
  </si>
  <si>
    <t>SEALANT RM</t>
  </si>
  <si>
    <t>PB-1</t>
  </si>
  <si>
    <t>330000051606</t>
  </si>
  <si>
    <t>02:05:17</t>
  </si>
  <si>
    <t>Flexicam-Router Comapact-5 Axis CNC</t>
  </si>
  <si>
    <t>1609 6623</t>
  </si>
  <si>
    <t>PIRANHA</t>
  </si>
  <si>
    <t>S302011522</t>
  </si>
  <si>
    <t>Flat Bed Scanner-C-scan-Scan Master</t>
  </si>
  <si>
    <t>320000018338</t>
  </si>
  <si>
    <t>SCAN MASTER</t>
  </si>
  <si>
    <t>120000018463</t>
  </si>
  <si>
    <t>MS-03-09</t>
  </si>
  <si>
    <t>1216240</t>
  </si>
  <si>
    <t>DS-200S SCAN MASTER</t>
  </si>
  <si>
    <t>Heavy coolant leakage</t>
  </si>
  <si>
    <t>06:56:14</t>
  </si>
  <si>
    <t>330000051585</t>
  </si>
  <si>
    <t>10:37:47</t>
  </si>
  <si>
    <t>06:57:37</t>
  </si>
  <si>
    <t>Lectra-2-Ply Cutting CNC</t>
  </si>
  <si>
    <t>Monthly Prev. Maint. for HMC - H5000 1</t>
  </si>
  <si>
    <t>16B2523</t>
  </si>
  <si>
    <t>VT-TT-IX-72</t>
  </si>
  <si>
    <t>06.08.2026</t>
  </si>
  <si>
    <t>320000018888</t>
  </si>
  <si>
    <t>120000018508</t>
  </si>
  <si>
    <t>330000051581</t>
  </si>
  <si>
    <t>Autoclave -7-Scholz-Curing</t>
  </si>
  <si>
    <t>coolant filled in vacuum pipe</t>
  </si>
  <si>
    <t>47119</t>
  </si>
  <si>
    <t>00:18:30</t>
  </si>
  <si>
    <t>07:09:18</t>
  </si>
  <si>
    <t>07:10:32</t>
  </si>
  <si>
    <t>Monthly Prev. Maint. for Jobs-2</t>
  </si>
  <si>
    <t>SPP</t>
  </si>
  <si>
    <t>A303110132</t>
  </si>
  <si>
    <t>SPECL PUR</t>
  </si>
  <si>
    <t>CMP016</t>
  </si>
  <si>
    <t>PRECON PROGRAMMABLE OVEN - 02</t>
  </si>
  <si>
    <t>PRECON</t>
  </si>
  <si>
    <t>330000051584</t>
  </si>
  <si>
    <t>5150</t>
  </si>
  <si>
    <t>320000018368</t>
  </si>
  <si>
    <t>120000018511</t>
  </si>
  <si>
    <t>Emergency alarm</t>
  </si>
  <si>
    <t>09:12:12</t>
  </si>
  <si>
    <t>10:10:02</t>
  </si>
  <si>
    <t>10:10:37</t>
  </si>
  <si>
    <t>Monthly Prev. Maint. For Jyoti-2</t>
  </si>
  <si>
    <t>Therelek Oven-2-Curing-DTL Bonding</t>
  </si>
  <si>
    <t>TE-4808</t>
  </si>
  <si>
    <t>A304110202</t>
  </si>
  <si>
    <t>52</t>
  </si>
  <si>
    <t>1103</t>
  </si>
  <si>
    <t>330000051559</t>
  </si>
  <si>
    <t>320000018403</t>
  </si>
  <si>
    <t>120000018514</t>
  </si>
  <si>
    <t>Hydrolic chiller unit smoke coming</t>
  </si>
  <si>
    <t>MONTHLY PREV MAINT FOR 103120000024</t>
  </si>
  <si>
    <t>Therelek Oven-3-Curing-FACC Bonding</t>
  </si>
  <si>
    <t>TE-4855</t>
  </si>
  <si>
    <t>A303081725</t>
  </si>
  <si>
    <t>46</t>
  </si>
  <si>
    <t>330000050707</t>
  </si>
  <si>
    <t>Paint booth-CG Airtech-DTL Bonding</t>
  </si>
  <si>
    <t>C G AIR TECH</t>
  </si>
  <si>
    <t>QUARTERLY PREV MAINT FOR 103120000140</t>
  </si>
  <si>
    <t>320000018366</t>
  </si>
  <si>
    <t>A303081739</t>
  </si>
  <si>
    <t>120000018518</t>
  </si>
  <si>
    <t>Universal Testing Machine-UTM-B-4</t>
  </si>
  <si>
    <t>Tool change issue</t>
  </si>
  <si>
    <t>UTM</t>
  </si>
  <si>
    <t>13:40:00</t>
  </si>
  <si>
    <t>14:20:00</t>
  </si>
  <si>
    <t>LECTRA 2</t>
  </si>
  <si>
    <t>Thermal Spray</t>
  </si>
  <si>
    <t>Oerlikon Metco</t>
  </si>
  <si>
    <t>PCB Lacquering booth</t>
  </si>
  <si>
    <t>4011973</t>
  </si>
  <si>
    <t>Multi Coat pro</t>
  </si>
  <si>
    <t>Maintenance</t>
  </si>
  <si>
    <t>A205290043</t>
  </si>
  <si>
    <t>SED-E-CITY</t>
  </si>
  <si>
    <t>1201</t>
  </si>
  <si>
    <t>Vaccum Furnace(ALD)</t>
  </si>
  <si>
    <t>ALD</t>
  </si>
  <si>
    <t>1037</t>
  </si>
  <si>
    <t>330000051614</t>
  </si>
  <si>
    <t>HR.9912.HV.N.12.gr</t>
  </si>
  <si>
    <t>320000018440</t>
  </si>
  <si>
    <t>120000018532</t>
  </si>
  <si>
    <t>AIR DRYER-1</t>
  </si>
  <si>
    <t>coolant system fault</t>
  </si>
  <si>
    <t>MONTHLY PM CHECK FOR AIR DRYER-1</t>
  </si>
  <si>
    <t>Heckert HEC 500 X5MT-2</t>
  </si>
  <si>
    <t>17:55:00</t>
  </si>
  <si>
    <t>Starrag</t>
  </si>
  <si>
    <t>18:40:00</t>
  </si>
  <si>
    <t>10452</t>
  </si>
  <si>
    <t>500 X5MT</t>
  </si>
  <si>
    <t>330000051318</t>
  </si>
  <si>
    <t>STC MT800 -II</t>
  </si>
  <si>
    <t>9386</t>
  </si>
  <si>
    <t>STC 800 MT</t>
  </si>
  <si>
    <t>BAY - 1 HVAC - 1</t>
  </si>
  <si>
    <t>MONTHLY_PM_BAY-1_HVAC - 1</t>
  </si>
  <si>
    <t>BY1</t>
  </si>
  <si>
    <t>STC MT800 -III</t>
  </si>
  <si>
    <t>320000018404</t>
  </si>
  <si>
    <t>120000018486</t>
  </si>
  <si>
    <t>runtime tool changer door open</t>
  </si>
  <si>
    <t>21.08.2026</t>
  </si>
  <si>
    <t>10:23:05</t>
  </si>
  <si>
    <t>9393</t>
  </si>
  <si>
    <t>10:24:05</t>
  </si>
  <si>
    <t>330000051319</t>
  </si>
  <si>
    <t>12:03:36</t>
  </si>
  <si>
    <t>10:25:23</t>
  </si>
  <si>
    <t>STC MT800 -IV</t>
  </si>
  <si>
    <t>9392</t>
  </si>
  <si>
    <t>BAY - 1 HVAC - 2</t>
  </si>
  <si>
    <t>MONTHLY_PM_BAY-1_HVAC - 2</t>
  </si>
  <si>
    <t>320000018709</t>
  </si>
  <si>
    <t>120000018477</t>
  </si>
  <si>
    <t>STC MT800 -V</t>
  </si>
  <si>
    <t>re-cooling  aggregate unit not operation</t>
  </si>
  <si>
    <t>00:00:13</t>
  </si>
  <si>
    <t>9410</t>
  </si>
  <si>
    <t>14:15:28</t>
  </si>
  <si>
    <t>330000051560</t>
  </si>
  <si>
    <t>00:03:28</t>
  </si>
  <si>
    <t>Mazak Integrex i800 V/8-1</t>
  </si>
  <si>
    <t>304293</t>
  </si>
  <si>
    <t>Integrex i-800V/8</t>
  </si>
  <si>
    <t>BAY - 1 HVAC - 3</t>
  </si>
  <si>
    <t>MONTHLY_PM_BAY-1_HVAC - 3</t>
  </si>
  <si>
    <t>320000018710</t>
  </si>
  <si>
    <t>120000018482</t>
  </si>
  <si>
    <t>Atc Arm Stuck</t>
  </si>
  <si>
    <t>Magic wave 3000(2)</t>
  </si>
  <si>
    <t>09:58:21</t>
  </si>
  <si>
    <t>14:20:38</t>
  </si>
  <si>
    <t>fronius</t>
  </si>
  <si>
    <t>25264633</t>
  </si>
  <si>
    <t>A-4600</t>
  </si>
  <si>
    <t>10:00:05</t>
  </si>
  <si>
    <t>Mazak Integrex i800 V/8-2</t>
  </si>
  <si>
    <t>304294</t>
  </si>
  <si>
    <t>320000018711</t>
  </si>
  <si>
    <t>120000018479</t>
  </si>
  <si>
    <t>HYDRAULIC OIL LOW</t>
  </si>
  <si>
    <t>07:07:10</t>
  </si>
  <si>
    <t>14:24:25</t>
  </si>
  <si>
    <t>330000051561</t>
  </si>
  <si>
    <t>07:08:32</t>
  </si>
  <si>
    <t>Mazak Integrex i800 V/8-3</t>
  </si>
  <si>
    <t>304295</t>
  </si>
  <si>
    <t>BAY - 1 HVAC - 4</t>
  </si>
  <si>
    <t>MONTHLY_PM_BAY-1_HVAC - 4</t>
  </si>
  <si>
    <t>DMU 80FD</t>
  </si>
  <si>
    <t>320000018712</t>
  </si>
  <si>
    <t>330000051528</t>
  </si>
  <si>
    <t>120000018503</t>
  </si>
  <si>
    <t>coolant not properly in tool</t>
  </si>
  <si>
    <t>12380000263</t>
  </si>
  <si>
    <t>09:40:27</t>
  </si>
  <si>
    <t>DMU 80 FD duoBLOCK</t>
  </si>
  <si>
    <t>14:31:27</t>
  </si>
  <si>
    <t>21:46:27</t>
  </si>
  <si>
    <t>MONTHLY PM CHECK FOR EOT CRANE-1</t>
  </si>
  <si>
    <t>21:47:53</t>
  </si>
  <si>
    <t>SP1-1</t>
  </si>
  <si>
    <t>CTX Beta 1250 TC</t>
  </si>
  <si>
    <t>330000050583</t>
  </si>
  <si>
    <t>0083000144 C</t>
  </si>
  <si>
    <t>Vaccum furnace (Ipsen)</t>
  </si>
  <si>
    <t>Ipsen</t>
  </si>
  <si>
    <t>2345</t>
  </si>
  <si>
    <t>High Vac</t>
  </si>
  <si>
    <t>STR</t>
  </si>
  <si>
    <t>S302011519</t>
  </si>
  <si>
    <t>STC MT800 -I</t>
  </si>
  <si>
    <t>RM STORE</t>
  </si>
  <si>
    <t>9369</t>
  </si>
  <si>
    <t>RS-01</t>
  </si>
  <si>
    <t>330000051181</t>
  </si>
  <si>
    <t>0001</t>
  </si>
  <si>
    <t>HEC 500 X5 MT-1</t>
  </si>
  <si>
    <t>10451</t>
  </si>
  <si>
    <t>HEC 500 X5 MT</t>
  </si>
  <si>
    <t>320000018719</t>
  </si>
  <si>
    <t>120000018502</t>
  </si>
  <si>
    <t>330000051643</t>
  </si>
  <si>
    <t>feed control switch not working</t>
  </si>
  <si>
    <t>21:03:39</t>
  </si>
  <si>
    <t>11:43:13</t>
  </si>
  <si>
    <t>PUMA V8300-1</t>
  </si>
  <si>
    <t>Doosan</t>
  </si>
  <si>
    <t>MT 0049-000311</t>
  </si>
  <si>
    <t>PUMA V8300</t>
  </si>
  <si>
    <t>21:05:21</t>
  </si>
  <si>
    <t>PUMA VTR 1216 M</t>
  </si>
  <si>
    <t>MT0046-000044</t>
  </si>
  <si>
    <t>330000051182</t>
  </si>
  <si>
    <t>76-365</t>
  </si>
  <si>
    <t>Matrix 1000 K80-6M</t>
  </si>
  <si>
    <t>320000018683</t>
  </si>
  <si>
    <t>120000018484</t>
  </si>
  <si>
    <t>air pressure drop issue</t>
  </si>
  <si>
    <t>04:49:18</t>
  </si>
  <si>
    <t>S304011904</t>
  </si>
  <si>
    <t>10:06:35</t>
  </si>
  <si>
    <t>Lathe Machine H22 Centre</t>
  </si>
  <si>
    <t>PRESS</t>
  </si>
  <si>
    <t>HMT</t>
  </si>
  <si>
    <t>SM-02-01</t>
  </si>
  <si>
    <t>4704</t>
  </si>
  <si>
    <t>330000051644</t>
  </si>
  <si>
    <t>H22</t>
  </si>
  <si>
    <t>SURFACE GRINDING M/C -HMT SFW2</t>
  </si>
  <si>
    <t>10:06:58</t>
  </si>
  <si>
    <t>46636</t>
  </si>
  <si>
    <t>330000051624</t>
  </si>
  <si>
    <t>VERTICAL MILLING M/C</t>
  </si>
  <si>
    <t>6400836</t>
  </si>
  <si>
    <t>FNGJ 20</t>
  </si>
  <si>
    <t>320000018684</t>
  </si>
  <si>
    <t>Monthly Prev. Maint. for HMC - H5000 2</t>
  </si>
  <si>
    <t>120000018483</t>
  </si>
  <si>
    <t>07.08.2026</t>
  </si>
  <si>
    <t>04:53:18</t>
  </si>
  <si>
    <t>10:02:50</t>
  </si>
  <si>
    <t>10:03:27</t>
  </si>
  <si>
    <t>UNIV CYL GRINDING M/C</t>
  </si>
  <si>
    <t>330000051147</t>
  </si>
  <si>
    <t>F15H1600 AF</t>
  </si>
  <si>
    <t>320000018686</t>
  </si>
  <si>
    <t>Mazak Integrex i630 V/6S-1</t>
  </si>
  <si>
    <t>120000018478</t>
  </si>
  <si>
    <t>QUARTERLY PREV MAINT FOR 103120000137</t>
  </si>
  <si>
    <t>320430</t>
  </si>
  <si>
    <t>INTEGREX i-630V</t>
  </si>
  <si>
    <t>air supply pressure failure &amp; hydraulic</t>
  </si>
  <si>
    <t>A303081724</t>
  </si>
  <si>
    <t>05:31:17</t>
  </si>
  <si>
    <t>03:07:07</t>
  </si>
  <si>
    <t>SCHMOLL</t>
  </si>
  <si>
    <t>03:09:25</t>
  </si>
  <si>
    <t>330000051621</t>
  </si>
  <si>
    <t>Integrex i630 V/6S-2</t>
  </si>
  <si>
    <t>320431</t>
  </si>
  <si>
    <t>Monthly Prev Maint plan 11000706</t>
  </si>
  <si>
    <t>A302021154</t>
  </si>
  <si>
    <t>320000018905</t>
  </si>
  <si>
    <t>Integrex i630 V/6S-3</t>
  </si>
  <si>
    <t>120000018388</t>
  </si>
  <si>
    <t>m81 cammand for air flust not working al</t>
  </si>
  <si>
    <t>320432</t>
  </si>
  <si>
    <t>23</t>
  </si>
  <si>
    <t>BAY-2</t>
  </si>
  <si>
    <t>04:06:58</t>
  </si>
  <si>
    <t>SP-HT-01</t>
  </si>
  <si>
    <t>15:06:17</t>
  </si>
  <si>
    <t>15:07:07</t>
  </si>
  <si>
    <t>330000051337</t>
  </si>
  <si>
    <t>Integrex i630 V/6S-4</t>
  </si>
  <si>
    <t>323747</t>
  </si>
  <si>
    <t>320000018713</t>
  </si>
  <si>
    <t>Mazak Integrex i630 V/6S-7</t>
  </si>
  <si>
    <t>120000018487</t>
  </si>
  <si>
    <t>QUATERLY PREV MAINT PLAN 11000726</t>
  </si>
  <si>
    <t>spindle lub air pressure failure</t>
  </si>
  <si>
    <t>Mazak Integrex i630 V/6S-5</t>
  </si>
  <si>
    <t>10:46:59</t>
  </si>
  <si>
    <t>323748</t>
  </si>
  <si>
    <t>14:36:05</t>
  </si>
  <si>
    <t>17</t>
  </si>
  <si>
    <t>10:47:52</t>
  </si>
  <si>
    <t>330000051338</t>
  </si>
  <si>
    <t>Mazak Integrex i630 V/6S-6</t>
  </si>
  <si>
    <t>323749</t>
  </si>
  <si>
    <t>320000018369</t>
  </si>
  <si>
    <t>120000018501</t>
  </si>
  <si>
    <t>Coolant sensor not working</t>
  </si>
  <si>
    <t>323751</t>
  </si>
  <si>
    <t>17:30:14</t>
  </si>
  <si>
    <t>18:20:24</t>
  </si>
  <si>
    <t>18:20:07</t>
  </si>
  <si>
    <t>18:20:27</t>
  </si>
  <si>
    <t>Monthly Prev Maint Plan 11000726</t>
  </si>
  <si>
    <t>Mazak Integrex i630 V/6S-8</t>
  </si>
  <si>
    <t>323752</t>
  </si>
  <si>
    <t>19</t>
  </si>
  <si>
    <t>330000050562</t>
  </si>
  <si>
    <t>320000018363</t>
  </si>
  <si>
    <t>120000018428</t>
  </si>
  <si>
    <t>Vacuum drop</t>
  </si>
  <si>
    <t>20.08.2026</t>
  </si>
  <si>
    <t>03:10:07</t>
  </si>
  <si>
    <t>10:19:54</t>
  </si>
  <si>
    <t>03:31:07</t>
  </si>
  <si>
    <t>Mazak MTN 900-1</t>
  </si>
  <si>
    <t>Halfyearly Prev Maint plan 11000726</t>
  </si>
  <si>
    <t>325522</t>
  </si>
  <si>
    <t>MEGA TURN 900</t>
  </si>
  <si>
    <t>6</t>
  </si>
  <si>
    <t>330000049109</t>
  </si>
  <si>
    <t>Mazak MTN 900-2</t>
  </si>
  <si>
    <t>320000018473</t>
  </si>
  <si>
    <t>120000018447</t>
  </si>
  <si>
    <t>325523</t>
  </si>
  <si>
    <t>Motor locked speed controller at its lim</t>
  </si>
  <si>
    <t>10:45:45</t>
  </si>
  <si>
    <t>12:48:59</t>
  </si>
  <si>
    <t>Yearly Prev Maint plan 11000726</t>
  </si>
  <si>
    <t>Mazak Integrex i630 V/6S-9</t>
  </si>
  <si>
    <t>12:15:59</t>
  </si>
  <si>
    <t>323750</t>
  </si>
  <si>
    <t>3</t>
  </si>
  <si>
    <t>330000051023</t>
  </si>
  <si>
    <t>Marking Image 1</t>
  </si>
  <si>
    <t>Marking Image</t>
  </si>
  <si>
    <t>IN14410979</t>
  </si>
  <si>
    <t>Haas UMC 1250</t>
  </si>
  <si>
    <t>9030</t>
  </si>
  <si>
    <t>S302011849</t>
  </si>
  <si>
    <t>320000018451</t>
  </si>
  <si>
    <t>120000018449</t>
  </si>
  <si>
    <t>COOLANT LEAKAGE</t>
  </si>
  <si>
    <t>MS-03-17</t>
  </si>
  <si>
    <t>13:29:12</t>
  </si>
  <si>
    <t>14:07:52</t>
  </si>
  <si>
    <t>Barani Hot Joggling Press</t>
  </si>
  <si>
    <t>330000050588</t>
  </si>
  <si>
    <t>Barani</t>
  </si>
  <si>
    <t>Barani Hot Joggling</t>
  </si>
  <si>
    <t>13:29:57</t>
  </si>
  <si>
    <t>LM Paint booth</t>
  </si>
  <si>
    <t>Allen Bradley</t>
  </si>
  <si>
    <t>5</t>
  </si>
  <si>
    <t>3405-79415050</t>
  </si>
  <si>
    <t>Turbo-1000-R12</t>
  </si>
  <si>
    <t>320000018445</t>
  </si>
  <si>
    <t>120000018470</t>
  </si>
  <si>
    <t>330000051284</t>
  </si>
  <si>
    <t>12:01:20</t>
  </si>
  <si>
    <t>19:46:22</t>
  </si>
  <si>
    <t>19:47:24</t>
  </si>
  <si>
    <t>FORKLIFT TRUCK CH-7 MH-14 AZ-8930</t>
  </si>
  <si>
    <t>VOLTAS LIMITED MUMBAI</t>
  </si>
  <si>
    <t>DVX 30 FC BC HVM</t>
  </si>
  <si>
    <t>C-SCAN:WiiPA Ultrasonic Insp;Tecnatom</t>
  </si>
  <si>
    <t>Tecnatom</t>
  </si>
  <si>
    <t>2205-WIIPA</t>
  </si>
  <si>
    <t>Tecnatom/WiipA</t>
  </si>
  <si>
    <t>320000018453</t>
  </si>
  <si>
    <t>120000018451</t>
  </si>
  <si>
    <t>CONVEYOR THERMAL TRIP</t>
  </si>
  <si>
    <t>13:07:04</t>
  </si>
  <si>
    <t>14:28:01</t>
  </si>
  <si>
    <t>13:35:04</t>
  </si>
  <si>
    <t>3 KVA UPS-3</t>
  </si>
  <si>
    <t>4-AXIS CNC ROUTER-FLEXICAM 2</t>
  </si>
  <si>
    <t>21176793</t>
  </si>
  <si>
    <t>ULTIMATE 1540</t>
  </si>
  <si>
    <t>13:36:00</t>
  </si>
  <si>
    <t>HURON-N01-01 (HURON 1) KX200 NVU N01-01</t>
  </si>
  <si>
    <t>X03282</t>
  </si>
  <si>
    <t>KX200 NVU</t>
  </si>
  <si>
    <t>3 KVA UPS</t>
  </si>
  <si>
    <t>Mazak Integrex i-630V-01</t>
  </si>
  <si>
    <t>320000018475</t>
  </si>
  <si>
    <t>330086</t>
  </si>
  <si>
    <t>120000018442</t>
  </si>
  <si>
    <t>INTEGREX i-630V/6</t>
  </si>
  <si>
    <t>coolant high alarm</t>
  </si>
  <si>
    <t>11:09:12</t>
  </si>
  <si>
    <t>10:02:15</t>
  </si>
  <si>
    <t>10:04:30</t>
  </si>
  <si>
    <t>3 KVA UPS-7</t>
  </si>
  <si>
    <t>Mazak Integrex i-630V-02</t>
  </si>
  <si>
    <t>330085</t>
  </si>
  <si>
    <t>320000018472</t>
  </si>
  <si>
    <t>120000018432</t>
  </si>
  <si>
    <t>00:32:46</t>
  </si>
  <si>
    <t>10:38:47</t>
  </si>
  <si>
    <t>Mazak Integrex i-630V-03</t>
  </si>
  <si>
    <t>333419</t>
  </si>
  <si>
    <t>00:34:05</t>
  </si>
  <si>
    <t>6KVA UPS-3</t>
  </si>
  <si>
    <t>Mazak Integrex i-630V-04</t>
  </si>
  <si>
    <t>333418</t>
  </si>
  <si>
    <t>6KVA UPS-4</t>
  </si>
  <si>
    <t>120000018357</t>
  </si>
  <si>
    <t>Mazak Integrex i-630V-05</t>
  </si>
  <si>
    <t>tcs common malfunction</t>
  </si>
  <si>
    <t>333420</t>
  </si>
  <si>
    <t>19:11:59</t>
  </si>
  <si>
    <t>19:14:00</t>
  </si>
  <si>
    <t>Mazak Integrex i-630V-06</t>
  </si>
  <si>
    <t>19:12:26</t>
  </si>
  <si>
    <t>333421</t>
  </si>
  <si>
    <t>MT+3VA SB</t>
  </si>
  <si>
    <t>TAIKISHA ENGINEERING</t>
  </si>
  <si>
    <t>AVLB INAC</t>
  </si>
  <si>
    <t>120000018460</t>
  </si>
  <si>
    <t>Abnormal Noise Coming From Spindle</t>
  </si>
  <si>
    <t>15:43:53</t>
  </si>
  <si>
    <t>Straddle Milling Machine (SPM)</t>
  </si>
  <si>
    <t>Taurus</t>
  </si>
  <si>
    <t>TA0428/TA0429/TA0430</t>
  </si>
  <si>
    <t>15:48:38</t>
  </si>
  <si>
    <t>15:46:24</t>
  </si>
  <si>
    <t>Haas</t>
  </si>
  <si>
    <t>1194746</t>
  </si>
  <si>
    <t>UMC-1250</t>
  </si>
  <si>
    <t>UPS-7 20KVA</t>
  </si>
  <si>
    <t>320000018800</t>
  </si>
  <si>
    <t>120000018433</t>
  </si>
  <si>
    <t>Vaccum furnace Ipsen - II</t>
  </si>
  <si>
    <t>tool clamping error on tr3</t>
  </si>
  <si>
    <t>02:15:57</t>
  </si>
  <si>
    <t>3150-B071-D6-4165A</t>
  </si>
  <si>
    <t>12:02:26</t>
  </si>
  <si>
    <t>High VAC</t>
  </si>
  <si>
    <t>03:04:57</t>
  </si>
  <si>
    <t>02:12:34</t>
  </si>
  <si>
    <t>330000051656</t>
  </si>
  <si>
    <t>Mazak Integrex i-630V-07</t>
  </si>
  <si>
    <t>333423</t>
  </si>
  <si>
    <t>320000018474</t>
  </si>
  <si>
    <t>120000018354</t>
  </si>
  <si>
    <t>Monthly PM_ARM</t>
  </si>
  <si>
    <t>arm not home position</t>
  </si>
  <si>
    <t>11:03:00</t>
  </si>
  <si>
    <t>Mazak- Variaxis C 600-1</t>
  </si>
  <si>
    <t>A201010712</t>
  </si>
  <si>
    <t>03:21:06</t>
  </si>
  <si>
    <t>335353</t>
  </si>
  <si>
    <t>VARIAXIS C-600</t>
  </si>
  <si>
    <t>03:23:09</t>
  </si>
  <si>
    <t>OTH</t>
  </si>
  <si>
    <t>FC-ARMS2</t>
  </si>
  <si>
    <t>330000051657</t>
  </si>
  <si>
    <t>Mazak- Variaxis C 600-2</t>
  </si>
  <si>
    <t>335351</t>
  </si>
  <si>
    <t>320000018358</t>
  </si>
  <si>
    <t>120000018395</t>
  </si>
  <si>
    <t>pallet not seated on locating pin alarm</t>
  </si>
  <si>
    <t>Mazak- Variaxis C 600-3</t>
  </si>
  <si>
    <t>23:10:00</t>
  </si>
  <si>
    <t>08:08:44</t>
  </si>
  <si>
    <t>335354</t>
  </si>
  <si>
    <t>22</t>
  </si>
  <si>
    <t>23:12:51</t>
  </si>
  <si>
    <t>23:13:50</t>
  </si>
  <si>
    <t>330000048411</t>
  </si>
  <si>
    <t>335352</t>
  </si>
  <si>
    <t>Vaccum furnace Ipsen - III</t>
  </si>
  <si>
    <t>IPSEN</t>
  </si>
  <si>
    <t>3150-B091-D6-4173-A</t>
  </si>
  <si>
    <t>320000018895</t>
  </si>
  <si>
    <t>120000018444</t>
  </si>
  <si>
    <t>TITAN High VAC</t>
  </si>
  <si>
    <t>Router 3 dust collector nut bolt broken</t>
  </si>
  <si>
    <t>10:40:00</t>
  </si>
  <si>
    <t>02:37:37</t>
  </si>
  <si>
    <t>10:33:39</t>
  </si>
  <si>
    <t>10:34:19</t>
  </si>
  <si>
    <t>Transformer-2</t>
  </si>
  <si>
    <t>330000051650</t>
  </si>
  <si>
    <t>voltamp</t>
  </si>
  <si>
    <t>52925/1</t>
  </si>
  <si>
    <t>ONAN</t>
  </si>
  <si>
    <t>AIR DRIER-2</t>
  </si>
  <si>
    <t>MONTHLY PREVENTIVE MAINTENANCE CHECK</t>
  </si>
  <si>
    <t>PART MARKING -1</t>
  </si>
  <si>
    <t>Smart mark</t>
  </si>
  <si>
    <t>65KJ1232</t>
  </si>
  <si>
    <t>Smart mark-3000</t>
  </si>
  <si>
    <t>330000051146</t>
  </si>
  <si>
    <t>120000018455</t>
  </si>
  <si>
    <t>router 3 spindle fault alaram</t>
  </si>
  <si>
    <t>16:40:28</t>
  </si>
  <si>
    <t>16:45:47</t>
  </si>
  <si>
    <t>16:45:28</t>
  </si>
  <si>
    <t>PART MARKING -2</t>
  </si>
  <si>
    <t>Cold Storage 2-Bluestar-Stores</t>
  </si>
  <si>
    <t>QUARTERLY PREV MAINT FOR 103120000019</t>
  </si>
  <si>
    <t>65EG1239( LED)</t>
  </si>
  <si>
    <t>COLD STORE</t>
  </si>
  <si>
    <t>330000051616</t>
  </si>
  <si>
    <t>333422</t>
  </si>
  <si>
    <t>BAY - 2 HVAC - 1</t>
  </si>
  <si>
    <t>320000018386</t>
  </si>
  <si>
    <t>MONTHLY_PM_BAY-2_HVAC - 1</t>
  </si>
  <si>
    <t>120000018452</t>
  </si>
  <si>
    <t>20.08.2026TANK AGETATIOR ISSUE</t>
  </si>
  <si>
    <t>14:09:05</t>
  </si>
  <si>
    <t>15:33:30</t>
  </si>
  <si>
    <t>Robotic Machine</t>
  </si>
  <si>
    <t>2001-SPD-HT</t>
  </si>
  <si>
    <t>KUKA</t>
  </si>
  <si>
    <t>330000051617</t>
  </si>
  <si>
    <t>320000018318</t>
  </si>
  <si>
    <t>120000018427</t>
  </si>
  <si>
    <t>UNIVERSAL GRINDING MACHINE</t>
  </si>
  <si>
    <t>Convyor motor over load</t>
  </si>
  <si>
    <t>ACE MICROMATIC</t>
  </si>
  <si>
    <t>00:10:00</t>
  </si>
  <si>
    <t>01:00:00</t>
  </si>
  <si>
    <t>32003</t>
  </si>
  <si>
    <t>Felxi 400</t>
  </si>
  <si>
    <t>BAY - 2 HVAC - 2</t>
  </si>
  <si>
    <t>MONTHLY_PM_BAY-2_HVAC - 2</t>
  </si>
  <si>
    <t>330000051618</t>
  </si>
  <si>
    <t>320000018402</t>
  </si>
  <si>
    <t>Automatic Blending Machine  Alphie 10</t>
  </si>
  <si>
    <t>120000018355</t>
  </si>
  <si>
    <t>ALPHIE</t>
  </si>
  <si>
    <t>Thermal trip alarm</t>
  </si>
  <si>
    <t>23A342</t>
  </si>
  <si>
    <t>ALPHIE-10</t>
  </si>
  <si>
    <t>12:39:07</t>
  </si>
  <si>
    <t>BAY - 2 HVAC - 3</t>
  </si>
  <si>
    <t>13:20:20</t>
  </si>
  <si>
    <t>MONTHLY_PM_BAY-2_HVAC - 3</t>
  </si>
  <si>
    <t>Deep Freezer 3 (Carrier)</t>
  </si>
  <si>
    <t>Carrier</t>
  </si>
  <si>
    <t>500422713238000007</t>
  </si>
  <si>
    <t>330000051619</t>
  </si>
  <si>
    <t>Ace VTL-400 LM-1</t>
  </si>
  <si>
    <t>320000018401</t>
  </si>
  <si>
    <t>Ace Micromatic</t>
  </si>
  <si>
    <t>120000018440</t>
  </si>
  <si>
    <t>0273</t>
  </si>
  <si>
    <t>VTL-400 LM</t>
  </si>
  <si>
    <t>Axis lubrication oil low alarm</t>
  </si>
  <si>
    <t>08:38:03</t>
  </si>
  <si>
    <t>09:15:00</t>
  </si>
  <si>
    <t>BAY - 2 HVAC - 4</t>
  </si>
  <si>
    <t>MONTHLY_PM_BAY-2_HVAC - 4</t>
  </si>
  <si>
    <t>09:15:20</t>
  </si>
  <si>
    <t>Ace VTL-400 LM-2</t>
  </si>
  <si>
    <t>0278</t>
  </si>
  <si>
    <t>330000051673</t>
  </si>
  <si>
    <t>320000018373</t>
  </si>
  <si>
    <t>120000018356</t>
  </si>
  <si>
    <t>Ace VTL-400 LM-3</t>
  </si>
  <si>
    <t>DRIVE FAULT ALARAM</t>
  </si>
  <si>
    <t>18:30:00</t>
  </si>
  <si>
    <t>0274</t>
  </si>
  <si>
    <t>S304011835</t>
  </si>
  <si>
    <t>19:20:00</t>
  </si>
  <si>
    <t>SM-01-01</t>
  </si>
  <si>
    <t>17:53:02</t>
  </si>
  <si>
    <t>330000051213</t>
  </si>
  <si>
    <t>PUMA V8300-4</t>
  </si>
  <si>
    <t>MT 0049-000929</t>
  </si>
  <si>
    <t>PUMA-V8300</t>
  </si>
  <si>
    <t>PUMA V8300-5</t>
  </si>
  <si>
    <t>MT 0049-000934</t>
  </si>
  <si>
    <t>330000051674</t>
  </si>
  <si>
    <t>320000018364</t>
  </si>
  <si>
    <t>120000018259</t>
  </si>
  <si>
    <t>waterleakagefrom intensfierpump</t>
  </si>
  <si>
    <t>19.08.2026</t>
  </si>
  <si>
    <t>16:34:29</t>
  </si>
  <si>
    <t>S304011828</t>
  </si>
  <si>
    <t>111102001108479</t>
  </si>
  <si>
    <t>MS-01-10</t>
  </si>
  <si>
    <t>MT 0049-000933</t>
  </si>
  <si>
    <t>330000051662</t>
  </si>
  <si>
    <t>Monthly Prev. Maint. For Bavius2M-3</t>
  </si>
  <si>
    <t>PUMA V8300-2</t>
  </si>
  <si>
    <t>A304110222</t>
  </si>
  <si>
    <t>MT 0049-000930</t>
  </si>
  <si>
    <t>1203</t>
  </si>
  <si>
    <t>120000018422</t>
  </si>
  <si>
    <t>coolant tank 2 fallen below min-level</t>
  </si>
  <si>
    <t>17:15:46</t>
  </si>
  <si>
    <t>330000051666</t>
  </si>
  <si>
    <t>17:52:46</t>
  </si>
  <si>
    <t>17:56:20</t>
  </si>
  <si>
    <t>17:54:44</t>
  </si>
  <si>
    <t>PUMA V8300-3</t>
  </si>
  <si>
    <t>MT 0049-000931</t>
  </si>
  <si>
    <t>Monthly Prev. Maint. For Huron-2</t>
  </si>
  <si>
    <t>A304110204</t>
  </si>
  <si>
    <t>320000018881</t>
  </si>
  <si>
    <t>120000018420</t>
  </si>
  <si>
    <t>chip conveyor stop</t>
  </si>
  <si>
    <t>Modig HHV-3-A</t>
  </si>
  <si>
    <t>1106</t>
  </si>
  <si>
    <t>Modig HHV-3</t>
  </si>
  <si>
    <t>220557</t>
  </si>
  <si>
    <t>HHV 3</t>
  </si>
  <si>
    <t>13:16:44</t>
  </si>
  <si>
    <t>04:52:45</t>
  </si>
  <si>
    <t>13:19:08</t>
  </si>
  <si>
    <t>330000051205</t>
  </si>
  <si>
    <t>EOT Crane  10T - 1</t>
  </si>
  <si>
    <t>QUARTERLY PREV MAINT FOR 103120000116</t>
  </si>
  <si>
    <t>A303081727</t>
  </si>
  <si>
    <t>EOT Crane  10T - 2</t>
  </si>
  <si>
    <t>320000018467</t>
  </si>
  <si>
    <t>120000018441</t>
  </si>
  <si>
    <t>SPECL PRO</t>
  </si>
  <si>
    <t>PALLET 1 CYCLE STOP</t>
  </si>
  <si>
    <t>BUPICLNR</t>
  </si>
  <si>
    <t>23:15:00</t>
  </si>
  <si>
    <t>09:29:24</t>
  </si>
  <si>
    <t>330000051427</t>
  </si>
  <si>
    <t>08:56:57</t>
  </si>
  <si>
    <t>08:58:24</t>
  </si>
  <si>
    <t>EOT Crane  30T</t>
  </si>
  <si>
    <t>Monthly PM Plan Mazak Integrex I630 VS-1</t>
  </si>
  <si>
    <t>Gantry Crane 5T</t>
  </si>
  <si>
    <t>320000018880</t>
  </si>
  <si>
    <t>330000051426</t>
  </si>
  <si>
    <t>120000018425</t>
  </si>
  <si>
    <t>06.09.2026</t>
  </si>
  <si>
    <t>04:38:32</t>
  </si>
  <si>
    <t>23:12:53</t>
  </si>
  <si>
    <t>TAL-CNC Machine</t>
  </si>
  <si>
    <t>23:15:42</t>
  </si>
  <si>
    <t>MD-1087-12-2008</t>
  </si>
  <si>
    <t>TAL/VERTIMACH,V-400</t>
  </si>
  <si>
    <t>21</t>
  </si>
  <si>
    <t>Universal Milling Machine (BFW)</t>
  </si>
  <si>
    <t>Solder Paste Printer</t>
  </si>
  <si>
    <t>320000018882</t>
  </si>
  <si>
    <t>120000018430</t>
  </si>
  <si>
    <t>Milling Machine (Manford)</t>
  </si>
  <si>
    <t>A11 AXIS LOCKING</t>
  </si>
  <si>
    <t>17:10:00</t>
  </si>
  <si>
    <t>Central Lathe machine</t>
  </si>
  <si>
    <t>UPS - 3 20KVA</t>
  </si>
  <si>
    <t>18:10:00</t>
  </si>
  <si>
    <t>17:03:42</t>
  </si>
  <si>
    <t>Wave Soldering Machine</t>
  </si>
  <si>
    <t>CCPLC0W</t>
  </si>
  <si>
    <t>05:01:42</t>
  </si>
  <si>
    <t>275</t>
  </si>
  <si>
    <t>17:04:53</t>
  </si>
  <si>
    <t>DACT</t>
  </si>
  <si>
    <t>Otis Lift</t>
  </si>
  <si>
    <t>320000018883</t>
  </si>
  <si>
    <t>120000018352</t>
  </si>
  <si>
    <t>SOIL TANK LEVEL FULL</t>
  </si>
  <si>
    <t>Kone service Lift</t>
  </si>
  <si>
    <t>05:15:00</t>
  </si>
  <si>
    <t>Fully Automatic inline Pick &amp; Place</t>
  </si>
  <si>
    <t>142180</t>
  </si>
  <si>
    <t>MY200Sxe-14 Machine</t>
  </si>
  <si>
    <t>04:23:52</t>
  </si>
  <si>
    <t>05:12:55</t>
  </si>
  <si>
    <t>04:26:01</t>
  </si>
  <si>
    <t>3 KVA UPS-5</t>
  </si>
  <si>
    <t>320000018502</t>
  </si>
  <si>
    <t>120000018384</t>
  </si>
  <si>
    <t>Pick n place machine</t>
  </si>
  <si>
    <t>axis triggered</t>
  </si>
  <si>
    <t>3 KVA UPS-6</t>
  </si>
  <si>
    <t>15:55:00</t>
  </si>
  <si>
    <t>08:53:20</t>
  </si>
  <si>
    <t>13:30:05</t>
  </si>
  <si>
    <t>Reflow Machine(Heller-1707 MK III)</t>
  </si>
  <si>
    <t>1015Q3-B7N8S-42203-02</t>
  </si>
  <si>
    <t>Heller-1707 MK III</t>
  </si>
  <si>
    <t>Selective soldering</t>
  </si>
  <si>
    <t>2KVA UPS+LB</t>
  </si>
  <si>
    <t>320000018359</t>
  </si>
  <si>
    <t>120000018393</t>
  </si>
  <si>
    <t>magazine back side door issue</t>
  </si>
  <si>
    <t>00:30:00</t>
  </si>
  <si>
    <t>08:25:54</t>
  </si>
  <si>
    <t>Diesel Generator 725KVA</t>
  </si>
  <si>
    <t>01:38:25</t>
  </si>
  <si>
    <t>9JR01214</t>
  </si>
  <si>
    <t>01:40:33</t>
  </si>
  <si>
    <t>6KVA UPS-5</t>
  </si>
  <si>
    <t>Diesel Generator 320KVA</t>
  </si>
  <si>
    <t>2JR02168</t>
  </si>
  <si>
    <t>Diesel Generator 100KVA</t>
  </si>
  <si>
    <t>CVHM413009</t>
  </si>
  <si>
    <t>320000018495</t>
  </si>
  <si>
    <t>120000018421</t>
  </si>
  <si>
    <t>router 1 dust collector pipe broken</t>
  </si>
  <si>
    <t>Air Compressor-2 (KAESER BSD72)</t>
  </si>
  <si>
    <t>09:42:43</t>
  </si>
  <si>
    <t>14:54:07</t>
  </si>
  <si>
    <t>14:55:02</t>
  </si>
  <si>
    <t>UPS - 1 20KVA</t>
  </si>
  <si>
    <t>2005442959-II</t>
  </si>
  <si>
    <t>SD 20KVA</t>
  </si>
  <si>
    <t>UPS - 2 20KVA</t>
  </si>
  <si>
    <t>0812204713</t>
  </si>
  <si>
    <t>320000018859</t>
  </si>
  <si>
    <t>120000018426</t>
  </si>
  <si>
    <t>UPS-3KVA SB</t>
  </si>
  <si>
    <t>DUST COLLECTOR PAD RUNNING WITH THE TOUY</t>
  </si>
  <si>
    <t>04:34:40</t>
  </si>
  <si>
    <t>23:34:51</t>
  </si>
  <si>
    <t>EMERSON</t>
  </si>
  <si>
    <t>2005445959-I</t>
  </si>
  <si>
    <t>23:38:29</t>
  </si>
  <si>
    <t>SD400</t>
  </si>
  <si>
    <t>RTF Fire Hydrant system</t>
  </si>
  <si>
    <t>320000018501</t>
  </si>
  <si>
    <t>120000018257</t>
  </si>
  <si>
    <t>Coolant unit malfunction alarm comes.</t>
  </si>
  <si>
    <t>Kone Passenger Lift</t>
  </si>
  <si>
    <t>08:43:17</t>
  </si>
  <si>
    <t>03:23:56</t>
  </si>
  <si>
    <t>Kone Goods Lift</t>
  </si>
  <si>
    <t>03:27:37</t>
  </si>
  <si>
    <t>Sewage Treatment Plant.</t>
  </si>
  <si>
    <t>320000018385</t>
  </si>
  <si>
    <t>120000018431</t>
  </si>
  <si>
    <t>GOA Temperature overshoot</t>
  </si>
  <si>
    <t>18:13:14</t>
  </si>
  <si>
    <t>Clean Room</t>
  </si>
  <si>
    <t>21:22:20</t>
  </si>
  <si>
    <t>3 KVA UPS-1</t>
  </si>
  <si>
    <t>330000051552</t>
  </si>
  <si>
    <t>2KVA UPS-2</t>
  </si>
  <si>
    <t>ACE MICROMATIC FLEXI 400 CNC GRINDING</t>
  </si>
  <si>
    <t>83321004100817</t>
  </si>
  <si>
    <t>MT+3KVA</t>
  </si>
  <si>
    <t>S302011542</t>
  </si>
  <si>
    <t>320000018374</t>
  </si>
  <si>
    <t>120000018415</t>
  </si>
  <si>
    <t>25</t>
  </si>
  <si>
    <t>Tool stucked in ATC</t>
  </si>
  <si>
    <t>MS-10-01</t>
  </si>
  <si>
    <t>08:20:00</t>
  </si>
  <si>
    <t>330000051203</t>
  </si>
  <si>
    <t>83321011101133</t>
  </si>
  <si>
    <t>07:34:52</t>
  </si>
  <si>
    <t>Robotic welding machine</t>
  </si>
  <si>
    <t>Quaterly preventive maintenance</t>
  </si>
  <si>
    <t>A202023243</t>
  </si>
  <si>
    <t>330000051651</t>
  </si>
  <si>
    <t>320000018375</t>
  </si>
  <si>
    <t>120000018382</t>
  </si>
  <si>
    <t>Rotary Axis A1 Issue</t>
  </si>
  <si>
    <t>BAY - 3 HVAC - 2</t>
  </si>
  <si>
    <t>MONTHLY_PM_BAY-3_HVAC - 2</t>
  </si>
  <si>
    <t>330000051652</t>
  </si>
  <si>
    <t>10:13:40</t>
  </si>
  <si>
    <t>2001-MSD-EX</t>
  </si>
  <si>
    <t>BAY - 3 HVAC - 3</t>
  </si>
  <si>
    <t>MONTHLY_PM_BAY-3_HVAC - 3</t>
  </si>
  <si>
    <t>GITPL-0081</t>
  </si>
  <si>
    <t>MT+LB</t>
  </si>
  <si>
    <t>330000051653</t>
  </si>
  <si>
    <t>320000018317</t>
  </si>
  <si>
    <t>120000018258</t>
  </si>
  <si>
    <t>40KVA UPS-1</t>
  </si>
  <si>
    <t>Hydraulic oil leakage on machine &amp; dress</t>
  </si>
  <si>
    <t>BAY - 3 HVAC - 4</t>
  </si>
  <si>
    <t>2008047M3674</t>
  </si>
  <si>
    <t>18:00:00</t>
  </si>
  <si>
    <t>7400M</t>
  </si>
  <si>
    <t>MONTHLY_PM_BAY-3_HVAC - 4</t>
  </si>
  <si>
    <t>330000051659</t>
  </si>
  <si>
    <t>14:22:02</t>
  </si>
  <si>
    <t>40KVA UPS-2</t>
  </si>
  <si>
    <t>2004037M0623</t>
  </si>
  <si>
    <t>AHU-CCA7</t>
  </si>
  <si>
    <t>CCA 07 AHU PM</t>
  </si>
  <si>
    <t>20</t>
  </si>
  <si>
    <t>AHU</t>
  </si>
  <si>
    <t>6KVA UPS-1</t>
  </si>
  <si>
    <t>20045141411</t>
  </si>
  <si>
    <t>PB6KVA</t>
  </si>
  <si>
    <t>330000051201</t>
  </si>
  <si>
    <t>320000018493</t>
  </si>
  <si>
    <t>120000018401</t>
  </si>
  <si>
    <t>pallet not clamp</t>
  </si>
  <si>
    <t>09:30:45</t>
  </si>
  <si>
    <t>Air compressor-03</t>
  </si>
  <si>
    <t>6KVA UPS-2</t>
  </si>
  <si>
    <t>10:42:03</t>
  </si>
  <si>
    <t>20052840983</t>
  </si>
  <si>
    <t>10:42:57</t>
  </si>
  <si>
    <t>COMP ROOM</t>
  </si>
  <si>
    <t>330000051701</t>
  </si>
  <si>
    <t>20052840984</t>
  </si>
  <si>
    <t>320000019699</t>
  </si>
  <si>
    <t>120000018404</t>
  </si>
  <si>
    <t>RUNTIME RELEASE PALLETS IN WORK AREA EXC</t>
  </si>
  <si>
    <t>28.09.2026</t>
  </si>
  <si>
    <t>17:27:10</t>
  </si>
  <si>
    <t>15:10:45</t>
  </si>
  <si>
    <t>20052840982</t>
  </si>
  <si>
    <t>S302011521</t>
  </si>
  <si>
    <t>PB6KA</t>
  </si>
  <si>
    <t>MS-03-05</t>
  </si>
  <si>
    <t>17:57:10</t>
  </si>
  <si>
    <t>330000051702</t>
  </si>
  <si>
    <t>17:59:21</t>
  </si>
  <si>
    <t>6875</t>
  </si>
  <si>
    <t>S302011507</t>
  </si>
  <si>
    <t>53</t>
  </si>
  <si>
    <t>320000018523</t>
  </si>
  <si>
    <t>M/C LINE-4</t>
  </si>
  <si>
    <t>120000018377</t>
  </si>
  <si>
    <t>MS-02-07</t>
  </si>
  <si>
    <t>Axis x1 drive fault</t>
  </si>
  <si>
    <t>330000051691</t>
  </si>
  <si>
    <t>06:30:23</t>
  </si>
  <si>
    <t>10:40:11</t>
  </si>
  <si>
    <t>06:37:23</t>
  </si>
  <si>
    <t>Aircompressor -1</t>
  </si>
  <si>
    <t>06:38:20</t>
  </si>
  <si>
    <t>Monthly Prev. Maint. For TR120-2</t>
  </si>
  <si>
    <t>08.08.2026</t>
  </si>
  <si>
    <t>A304110232</t>
  </si>
  <si>
    <t>MTP004</t>
  </si>
  <si>
    <t>UPS - 4 20KVA</t>
  </si>
  <si>
    <t>330000051692</t>
  </si>
  <si>
    <t>Monthly Prev. Maint. For V900-1</t>
  </si>
  <si>
    <t>UPS - 1 60KVA</t>
  </si>
  <si>
    <t>320000018520</t>
  </si>
  <si>
    <t>120000018410</t>
  </si>
  <si>
    <t>A304110207</t>
  </si>
  <si>
    <t>2013047M9312</t>
  </si>
  <si>
    <t>1109</t>
  </si>
  <si>
    <t>NO INITIAL CONFIRM FOR ATC</t>
  </si>
  <si>
    <t>UPS - 5 20KVA</t>
  </si>
  <si>
    <t>APC</t>
  </si>
  <si>
    <t>BQ1638002629</t>
  </si>
  <si>
    <t>10:15:14</t>
  </si>
  <si>
    <t>SURT20KUXI-INQ</t>
  </si>
  <si>
    <t>22:16:50</t>
  </si>
  <si>
    <t>22:19:07</t>
  </si>
  <si>
    <t>UPS -  20KVA</t>
  </si>
  <si>
    <t>330000051223</t>
  </si>
  <si>
    <t>Ply Cutter 3- GUNNAR NOVEX</t>
  </si>
  <si>
    <t>PM for Ply cutter-3 Gunnarr</t>
  </si>
  <si>
    <t>320000018491</t>
  </si>
  <si>
    <t>120000018411</t>
  </si>
  <si>
    <t>UPS - 1 10KVA</t>
  </si>
  <si>
    <t>CCA</t>
  </si>
  <si>
    <t>BQ1512002629</t>
  </si>
  <si>
    <t>08:15:00</t>
  </si>
  <si>
    <t>src10kvxiq</t>
  </si>
  <si>
    <t>09:18:54</t>
  </si>
  <si>
    <t>PLYCUTR3</t>
  </si>
  <si>
    <t>22:56:03</t>
  </si>
  <si>
    <t>330000051224</t>
  </si>
  <si>
    <t>22:58:22</t>
  </si>
  <si>
    <t>9JR01599</t>
  </si>
  <si>
    <t>Ply Cutter 4- GUNNAR NOVEX</t>
  </si>
  <si>
    <t>Quaterly_PM_Ply Cutter 4- GUNNAR NOVEX</t>
  </si>
  <si>
    <t>PLYCUTR4</t>
  </si>
  <si>
    <t>UPS-6 20KVA</t>
  </si>
  <si>
    <t>330000051686</t>
  </si>
  <si>
    <t>320000018522</t>
  </si>
  <si>
    <t>120000018406</t>
  </si>
  <si>
    <t>210120007822141030001</t>
  </si>
  <si>
    <t>ADAPT 20KVA</t>
  </si>
  <si>
    <t>LOADING  STATION NOT OPENED</t>
  </si>
  <si>
    <t>10:35:27</t>
  </si>
  <si>
    <t>18:07:27</t>
  </si>
  <si>
    <t>TAV Vacuum Furnace</t>
  </si>
  <si>
    <t>TAV Preventive Plan 11001371</t>
  </si>
  <si>
    <t>18:09:56</t>
  </si>
  <si>
    <t>SAF-SP</t>
  </si>
  <si>
    <t>2101200782212707000B</t>
  </si>
  <si>
    <t>330000051710</t>
  </si>
  <si>
    <t>UPS-8 20KVA</t>
  </si>
  <si>
    <t>2101200782214102002A</t>
  </si>
  <si>
    <t>AIR COMPRESSOR-2</t>
  </si>
  <si>
    <t>MONTHLY PM CHECK FOR AIR COMPRESSOR-2</t>
  </si>
  <si>
    <t>320000018496</t>
  </si>
  <si>
    <t>120000018405</t>
  </si>
  <si>
    <t>door not closed</t>
  </si>
  <si>
    <t>09:47:40</t>
  </si>
  <si>
    <t>18:05:46</t>
  </si>
  <si>
    <t>18:06:32</t>
  </si>
  <si>
    <t>330000051711</t>
  </si>
  <si>
    <t>17:06:32</t>
  </si>
  <si>
    <t>HVAC-2</t>
  </si>
  <si>
    <t>MONTHLY PM CHECK FOR HVAC-2</t>
  </si>
  <si>
    <t>320000018521</t>
  </si>
  <si>
    <t>120000018378</t>
  </si>
  <si>
    <t>330000051712</t>
  </si>
  <si>
    <t>PART LOADING DOOR NOT OPEN</t>
  </si>
  <si>
    <t>08:15:01</t>
  </si>
  <si>
    <t>10:30:43</t>
  </si>
  <si>
    <t>08:24:01</t>
  </si>
  <si>
    <t>HVAC-6</t>
  </si>
  <si>
    <t>MONTHLY PM CHECK FOR HVAC-6</t>
  </si>
  <si>
    <t>08:25:10</t>
  </si>
  <si>
    <t>330000051713</t>
  </si>
  <si>
    <t>737 SUB ASSEMBLY HVAC</t>
  </si>
  <si>
    <t>MONTHLY PM CHECK FOR 737 SUB ASSEMBLY HV</t>
  </si>
  <si>
    <t>Kardex Lift</t>
  </si>
  <si>
    <t>737 SUBASS</t>
  </si>
  <si>
    <t>VFSUB2</t>
  </si>
  <si>
    <t>330000052432</t>
  </si>
  <si>
    <t>Chiller-320Tr</t>
  </si>
  <si>
    <t>NEW C-SCAN MACHINE_11526 DS-200S</t>
  </si>
  <si>
    <t>Monthly PM Plan</t>
  </si>
  <si>
    <t>BY4</t>
  </si>
  <si>
    <t>320000018499</t>
  </si>
  <si>
    <t>Main Hydrant pump</t>
  </si>
  <si>
    <t>120000018390</t>
  </si>
  <si>
    <t>BAY-4</t>
  </si>
  <si>
    <t>MFG-UST</t>
  </si>
  <si>
    <t>Pallet Changing issue.</t>
  </si>
  <si>
    <t>330000048648</t>
  </si>
  <si>
    <t>10:08:42</t>
  </si>
  <si>
    <t>01:46:29</t>
  </si>
  <si>
    <t>Jockey pump</t>
  </si>
  <si>
    <t>01:46:48</t>
  </si>
  <si>
    <t>UPS_20KVA-5_EASY_UPS_PLANT-3</t>
  </si>
  <si>
    <t>AMC of 20 KVA UPS_9E2203T12679</t>
  </si>
  <si>
    <t>EOT Crane  10T - 3</t>
  </si>
  <si>
    <t>UPS ROOM</t>
  </si>
  <si>
    <t>330000048652</t>
  </si>
  <si>
    <t>2KVA Offline UPS</t>
  </si>
  <si>
    <t>Solder Paste Inspection (3D SPI-KY8030-2</t>
  </si>
  <si>
    <t>koh young  Technology</t>
  </si>
  <si>
    <t>3D SPI-KY8030-2</t>
  </si>
  <si>
    <t>.Model-KY8030-2</t>
  </si>
  <si>
    <t>320000018349</t>
  </si>
  <si>
    <t>120000018375</t>
  </si>
  <si>
    <t>UPS 20KVA - 6_EASY_UPS_PLANT-3</t>
  </si>
  <si>
    <t>04:00:31</t>
  </si>
  <si>
    <t>MAIN HT YARD PANEL</t>
  </si>
  <si>
    <t>AMC of 20 KVA UPS_9E2203T12654</t>
  </si>
  <si>
    <t>06:30:01</t>
  </si>
  <si>
    <t>06:30:14</t>
  </si>
  <si>
    <t>06:30:57</t>
  </si>
  <si>
    <t>330000051734</t>
  </si>
  <si>
    <t>SS01 HT PANEL</t>
  </si>
  <si>
    <t>L301010126</t>
  </si>
  <si>
    <t>601 D</t>
  </si>
  <si>
    <t>SS02 HT PANEL</t>
  </si>
  <si>
    <t>601-D</t>
  </si>
  <si>
    <t>330000051735</t>
  </si>
  <si>
    <t>320000018316</t>
  </si>
  <si>
    <t>120000018408</t>
  </si>
  <si>
    <t>Chip conveyor came out</t>
  </si>
  <si>
    <t>HSD YARD CONTROL PANEL</t>
  </si>
  <si>
    <t>19:12:19</t>
  </si>
  <si>
    <t>L301010112</t>
  </si>
  <si>
    <t>602 D</t>
  </si>
  <si>
    <t>330000051736</t>
  </si>
  <si>
    <t>DEISEL GENERATOR 1010 KVA</t>
  </si>
  <si>
    <t>320000018335</t>
  </si>
  <si>
    <t>120000018351</t>
  </si>
  <si>
    <t>low air pressure</t>
  </si>
  <si>
    <t>09:45:24</t>
  </si>
  <si>
    <t>DEISEL GENERATOR  1010 KVA</t>
  </si>
  <si>
    <t>09:45:08</t>
  </si>
  <si>
    <t>602-D</t>
  </si>
  <si>
    <t>330000051737</t>
  </si>
  <si>
    <t>320000018334</t>
  </si>
  <si>
    <t>120000018412</t>
  </si>
  <si>
    <t>Spindel lubrication signal missing</t>
  </si>
  <si>
    <t>22:35:00</t>
  </si>
  <si>
    <t>01:30:00</t>
  </si>
  <si>
    <t>TRANSFORMER 1600 KVA-1</t>
  </si>
  <si>
    <t>330000051740</t>
  </si>
  <si>
    <t>TRANSFORMER 1600 KVA-2</t>
  </si>
  <si>
    <t>320000018315</t>
  </si>
  <si>
    <t>120000018403</t>
  </si>
  <si>
    <t>L301010136</t>
  </si>
  <si>
    <t>TRANSFORMER 1600 KVA-3</t>
  </si>
  <si>
    <t>841</t>
  </si>
  <si>
    <t>A axis trigreed</t>
  </si>
  <si>
    <t>603L-A</t>
  </si>
  <si>
    <t>330000051741</t>
  </si>
  <si>
    <t>EOT CRANE-30 TON</t>
  </si>
  <si>
    <t>S304011910</t>
  </si>
  <si>
    <t>17:49:38</t>
  </si>
  <si>
    <t>SM-03-04</t>
  </si>
  <si>
    <t>330000050698</t>
  </si>
  <si>
    <t>EOT CRANE-20 TON</t>
  </si>
  <si>
    <t>320000019743</t>
  </si>
  <si>
    <t>120000018349</t>
  </si>
  <si>
    <t>motor locked speed controller at limit</t>
  </si>
  <si>
    <t>17.08.2026</t>
  </si>
  <si>
    <t>12:56:17</t>
  </si>
  <si>
    <t>15:36:04</t>
  </si>
  <si>
    <t>12:58:17</t>
  </si>
  <si>
    <t>12:59:51</t>
  </si>
  <si>
    <t>330000051729</t>
  </si>
  <si>
    <t>Paint shop 2 monthly PM</t>
  </si>
  <si>
    <t>A303110120</t>
  </si>
  <si>
    <t>44</t>
  </si>
  <si>
    <t>1118</t>
  </si>
  <si>
    <t>EOT CRANE-10 TON</t>
  </si>
  <si>
    <t>320000019742</t>
  </si>
  <si>
    <t>120000018345</t>
  </si>
  <si>
    <t>330000051488</t>
  </si>
  <si>
    <t>refeance</t>
  </si>
  <si>
    <t>09:35:23</t>
  </si>
  <si>
    <t>15:31:51</t>
  </si>
  <si>
    <t>PREV MAINT PLAN 11000787</t>
  </si>
  <si>
    <t>UPS-60 KVA</t>
  </si>
  <si>
    <t>09:36:51</t>
  </si>
  <si>
    <t>330000051715</t>
  </si>
  <si>
    <t>COMPRESSOR-1</t>
  </si>
  <si>
    <t>COMPRESSOR-2</t>
  </si>
  <si>
    <t>320000019741</t>
  </si>
  <si>
    <t>120000018374</t>
  </si>
  <si>
    <t>AXIS M C1 DRIVE FAULT</t>
  </si>
  <si>
    <t>23:07:36</t>
  </si>
  <si>
    <t>15:28:49</t>
  </si>
  <si>
    <t>23:34:36</t>
  </si>
  <si>
    <t>330000051327</t>
  </si>
  <si>
    <t>COMPRESSOR-3</t>
  </si>
  <si>
    <t>DMU 65 mono block-02</t>
  </si>
  <si>
    <t>23:35:19</t>
  </si>
  <si>
    <t>A202021112</t>
  </si>
  <si>
    <t>DMU-65</t>
  </si>
  <si>
    <t>DRIER-1</t>
  </si>
  <si>
    <t>330000051283</t>
  </si>
  <si>
    <t>WTP</t>
  </si>
  <si>
    <t>DRIER-2</t>
  </si>
  <si>
    <t>320000019429</t>
  </si>
  <si>
    <t>120000018366</t>
  </si>
  <si>
    <t>S200010043</t>
  </si>
  <si>
    <t>coolant high pressure faulty or flow con</t>
  </si>
  <si>
    <t>TSAL_PEM</t>
  </si>
  <si>
    <t>17:14:40</t>
  </si>
  <si>
    <t>07:50:47</t>
  </si>
  <si>
    <t>330000051747</t>
  </si>
  <si>
    <t>DRIER-3</t>
  </si>
  <si>
    <t>17:19:50</t>
  </si>
  <si>
    <t>Tranformer 1950KVA</t>
  </si>
  <si>
    <t>BRAIDING MACHINE NO 01</t>
  </si>
  <si>
    <t>320000019536</t>
  </si>
  <si>
    <t>ALCAM CONCEPT</t>
  </si>
  <si>
    <t>120000018347</t>
  </si>
  <si>
    <t>T-2023-48-96-002</t>
  </si>
  <si>
    <t>330000051718</t>
  </si>
  <si>
    <t>ATVH48MRIINDV02.01</t>
  </si>
  <si>
    <t>coolant high pressure absence</t>
  </si>
  <si>
    <t>10:36:21</t>
  </si>
  <si>
    <t>14:21:23</t>
  </si>
  <si>
    <t>11:08:21</t>
  </si>
  <si>
    <t>11:09:47</t>
  </si>
  <si>
    <t>BRAIDING MACHINE NO 02</t>
  </si>
  <si>
    <t>AHU-CCA2-Voltas</t>
  </si>
  <si>
    <t>MONTHLY  PREV MAINT FOR 103120000018</t>
  </si>
  <si>
    <t>T-2023-32-96-002</t>
  </si>
  <si>
    <t>ATVH32MRIINDV02.01</t>
  </si>
  <si>
    <t>A303081708</t>
  </si>
  <si>
    <t>BRAIDING MACHINE NO 03</t>
  </si>
  <si>
    <t>330000051765</t>
  </si>
  <si>
    <t>T-2023-24-96-001</t>
  </si>
  <si>
    <t>Monthly Prev. Maint. For Mazak 5 axis</t>
  </si>
  <si>
    <t>TAPING MACHINE KTR 1</t>
  </si>
  <si>
    <t>09.08.2026</t>
  </si>
  <si>
    <t>320000018693</t>
  </si>
  <si>
    <t>KOMAX</t>
  </si>
  <si>
    <t>120000018367</t>
  </si>
  <si>
    <t>91026</t>
  </si>
  <si>
    <t>A303110110</t>
  </si>
  <si>
    <t>KTR 01</t>
  </si>
  <si>
    <t>17:20:06</t>
  </si>
  <si>
    <t>18:08:39</t>
  </si>
  <si>
    <t>1205</t>
  </si>
  <si>
    <t>17:29:06</t>
  </si>
  <si>
    <t>330000051246</t>
  </si>
  <si>
    <t>UV LASER MARKING MACHINE</t>
  </si>
  <si>
    <t>LASELEC S A</t>
  </si>
  <si>
    <t>MRO200_V</t>
  </si>
  <si>
    <t>17:20:46</t>
  </si>
  <si>
    <t>PM_QUARTERLY_Perforation Machine;Pl</t>
  </si>
  <si>
    <t>13</t>
  </si>
  <si>
    <t>EASY CONTRAST</t>
  </si>
  <si>
    <t>EAC-23004</t>
  </si>
  <si>
    <t>330000051347</t>
  </si>
  <si>
    <t>320000018906</t>
  </si>
  <si>
    <t>120000018362</t>
  </si>
  <si>
    <t>LABEL PRINTER 01</t>
  </si>
  <si>
    <t>RUNNING PROGRAM MACHINE POWAR OFF</t>
  </si>
  <si>
    <t>TYCO</t>
  </si>
  <si>
    <t>T3212</t>
  </si>
  <si>
    <t>04:17:20</t>
  </si>
  <si>
    <t>S304011928</t>
  </si>
  <si>
    <t>13:57:18</t>
  </si>
  <si>
    <t>SM-08-02</t>
  </si>
  <si>
    <t>13:59:39</t>
  </si>
  <si>
    <t>LABEL PRINTER 02</t>
  </si>
  <si>
    <t>330000051759</t>
  </si>
  <si>
    <t>T2212</t>
  </si>
  <si>
    <t>Sand Blasting Vertical Machine (ROSLER)</t>
  </si>
  <si>
    <t>Shot Blasting Preventive Plan 11001383</t>
  </si>
  <si>
    <t>MODULAR TEST ANALYSER 01</t>
  </si>
  <si>
    <t>DIT-MICO</t>
  </si>
  <si>
    <t>117-00183-0461</t>
  </si>
  <si>
    <t>2650</t>
  </si>
  <si>
    <t>320000019088</t>
  </si>
  <si>
    <t>120000018365</t>
  </si>
  <si>
    <t>PALLET NOT CHANGING</t>
  </si>
  <si>
    <t>MODULAR TEST ANALYSER 02</t>
  </si>
  <si>
    <t>330000050909</t>
  </si>
  <si>
    <t>13:10:42</t>
  </si>
  <si>
    <t>117-00185-0460</t>
  </si>
  <si>
    <t>16:47:04</t>
  </si>
  <si>
    <t>16:30:40</t>
  </si>
  <si>
    <t>WFL M40X Millturn /4500mm - 04</t>
  </si>
  <si>
    <t>Marking Image 2</t>
  </si>
  <si>
    <t>Preventive Maintenance Plan WFL-04</t>
  </si>
  <si>
    <t>IN21420017</t>
  </si>
  <si>
    <t>WFL-04</t>
  </si>
  <si>
    <t>LVT Vacuum Furnace-1</t>
  </si>
  <si>
    <t>330000050910</t>
  </si>
  <si>
    <t>Lakshmi Vacuum Technology PVT</t>
  </si>
  <si>
    <t>LVT/HVHF/308/2023-1</t>
  </si>
  <si>
    <t>HVHF-1200 QP-2</t>
  </si>
  <si>
    <t>320000019430</t>
  </si>
  <si>
    <t>120000018342</t>
  </si>
  <si>
    <t>07:18:42</t>
  </si>
  <si>
    <t>07:54:05</t>
  </si>
  <si>
    <t>WFL M40X Millturn /4500mm - 05</t>
  </si>
  <si>
    <t>07:47:42</t>
  </si>
  <si>
    <t>Preventive Maintenance Plan WFL-05</t>
  </si>
  <si>
    <t>LVT Vacuum Furnace-2</t>
  </si>
  <si>
    <t>LVT/HVHF/308/2023-2</t>
  </si>
  <si>
    <t>07:48:36</t>
  </si>
  <si>
    <t>WFL-05</t>
  </si>
  <si>
    <t>330000051761</t>
  </si>
  <si>
    <t>Micromatic Grinding</t>
  </si>
  <si>
    <t>32005</t>
  </si>
  <si>
    <t>FLEXI 400 CNC</t>
  </si>
  <si>
    <t>AHU-CCA1-CRT-B-2</t>
  </si>
  <si>
    <t>UPS-5 20KVA</t>
  </si>
  <si>
    <t>MONTHLY  PREV MAINT FOR 103120000005</t>
  </si>
  <si>
    <t>120000018360</t>
  </si>
  <si>
    <t>210120007822131020013</t>
  </si>
  <si>
    <t>hmc 08 drive  communication failure</t>
  </si>
  <si>
    <t>A303081750</t>
  </si>
  <si>
    <t>13:00:55</t>
  </si>
  <si>
    <t>13:07:55</t>
  </si>
  <si>
    <t>13:10:08</t>
  </si>
  <si>
    <t>20KVA APC make Ups</t>
  </si>
  <si>
    <t>13:09:25</t>
  </si>
  <si>
    <t>330000051758</t>
  </si>
  <si>
    <t>B21552000002</t>
  </si>
  <si>
    <t>SURT20KVXI-IN</t>
  </si>
  <si>
    <t>UPS 40KVA UPS-3_PLANT-1</t>
  </si>
  <si>
    <t>40KVA_UPS-3_PREVENTIVE MAINTENANCE</t>
  </si>
  <si>
    <t>IS1143000473</t>
  </si>
  <si>
    <t>SURT20KVXI</t>
  </si>
  <si>
    <t>320000018524</t>
  </si>
  <si>
    <t>120000018319</t>
  </si>
  <si>
    <t>pallet changing issue</t>
  </si>
  <si>
    <t>CMM ACCURA 12/24/10</t>
  </si>
  <si>
    <t>330000051831</t>
  </si>
  <si>
    <t>CARL ZEISS INDUSTRIELLE</t>
  </si>
  <si>
    <t>11:11:32</t>
  </si>
  <si>
    <t>145222110961</t>
  </si>
  <si>
    <t>20:48:05</t>
  </si>
  <si>
    <t>20:48:41</t>
  </si>
  <si>
    <t>S302011501</t>
  </si>
  <si>
    <t>GUNNAR NOVEX</t>
  </si>
  <si>
    <t>64.970.0201</t>
  </si>
  <si>
    <t>MS-03-04</t>
  </si>
  <si>
    <t>NOVEX</t>
  </si>
  <si>
    <t>330000051833</t>
  </si>
  <si>
    <t>64.97</t>
  </si>
  <si>
    <t>320000018695</t>
  </si>
  <si>
    <t>S302011505</t>
  </si>
  <si>
    <t>120000018316</t>
  </si>
  <si>
    <t>internal water filter dirty</t>
  </si>
  <si>
    <t>MS-02-05</t>
  </si>
  <si>
    <t>08:30:04</t>
  </si>
  <si>
    <t>Abrasive flow machine</t>
  </si>
  <si>
    <t>09:17:21</t>
  </si>
  <si>
    <t>Flow Grinding Corp</t>
  </si>
  <si>
    <t>20012</t>
  </si>
  <si>
    <t>330000051796</t>
  </si>
  <si>
    <t>PRECIFLOW 3620</t>
  </si>
  <si>
    <t>08:30:57</t>
  </si>
  <si>
    <t>Pressure test bench machine</t>
  </si>
  <si>
    <t>Maximator India Pvt Ltd</t>
  </si>
  <si>
    <t>2211295</t>
  </si>
  <si>
    <t>M107.0044</t>
  </si>
  <si>
    <t>Yamazaki MazakSingaporePvt Ltd</t>
  </si>
  <si>
    <t>348332</t>
  </si>
  <si>
    <t>MEGA TURN 900M</t>
  </si>
  <si>
    <t>320000019432</t>
  </si>
  <si>
    <t>120000018380</t>
  </si>
  <si>
    <t>Tool Clamp Pressure Alarm.</t>
  </si>
  <si>
    <t>Monthly Prev. Maint. For Bavius4M</t>
  </si>
  <si>
    <t>21:25:10</t>
  </si>
  <si>
    <t>07:57:37</t>
  </si>
  <si>
    <t>11.08.2026</t>
  </si>
  <si>
    <t>A304110220</t>
  </si>
  <si>
    <t>Electro impact</t>
  </si>
  <si>
    <t>E8000</t>
  </si>
  <si>
    <t>21:26:21</t>
  </si>
  <si>
    <t>1124</t>
  </si>
  <si>
    <t>330000051556</t>
  </si>
  <si>
    <t>Speed Spm-2</t>
  </si>
  <si>
    <t>Sparkonix</t>
  </si>
  <si>
    <t>603</t>
  </si>
  <si>
    <t>SPEED -7 CNC 5 Axis</t>
  </si>
  <si>
    <t>A302021144</t>
  </si>
  <si>
    <t>Venturian 450 Series</t>
  </si>
  <si>
    <t>Zoller</t>
  </si>
  <si>
    <t>VENT 450X-01972</t>
  </si>
  <si>
    <t>STC-01</t>
  </si>
  <si>
    <t>320000018784</t>
  </si>
  <si>
    <t>120000018368</t>
  </si>
  <si>
    <t>330000051554</t>
  </si>
  <si>
    <t>router 1 idle due dust collector up down</t>
  </si>
  <si>
    <t>17:40:00</t>
  </si>
  <si>
    <t>00:43:31</t>
  </si>
  <si>
    <t>17:40:43</t>
  </si>
  <si>
    <t>Venturian 450</t>
  </si>
  <si>
    <t>12</t>
  </si>
  <si>
    <t>Smile 420/6</t>
  </si>
  <si>
    <t>17:42:20</t>
  </si>
  <si>
    <t>SMILE420X-00731</t>
  </si>
  <si>
    <t>SMILE 420/6</t>
  </si>
  <si>
    <t>330000051555</t>
  </si>
  <si>
    <t>Ace VTL-400 LM-6</t>
  </si>
  <si>
    <t>305</t>
  </si>
  <si>
    <t>330000051922</t>
  </si>
  <si>
    <t>320000018344</t>
  </si>
  <si>
    <t>Ace VTL-400 LM-5</t>
  </si>
  <si>
    <t>120000018317</t>
  </si>
  <si>
    <t>ATC breakdown at  VF6 3axis</t>
  </si>
  <si>
    <t>306</t>
  </si>
  <si>
    <t>Modig HHV-3-B</t>
  </si>
  <si>
    <t>08:00:14</t>
  </si>
  <si>
    <t>11:00:14</t>
  </si>
  <si>
    <t>Ace VTL-400 LM-4</t>
  </si>
  <si>
    <t>307</t>
  </si>
  <si>
    <t>S304011850</t>
  </si>
  <si>
    <t>11:00:39</t>
  </si>
  <si>
    <t>MS-02-11</t>
  </si>
  <si>
    <t>330000051923</t>
  </si>
  <si>
    <t>DMU 65 mono block-01</t>
  </si>
  <si>
    <t>DMG Mori</t>
  </si>
  <si>
    <t>12140022403</t>
  </si>
  <si>
    <t>DMU 65</t>
  </si>
  <si>
    <t>Modig HHV-3-C</t>
  </si>
  <si>
    <t>12140022383</t>
  </si>
  <si>
    <t>320000018313</t>
  </si>
  <si>
    <t>MS-02-13</t>
  </si>
  <si>
    <t>120000018337</t>
  </si>
  <si>
    <t>Display hang and blue colour screen</t>
  </si>
  <si>
    <t>330000051791</t>
  </si>
  <si>
    <t>06:45:00</t>
  </si>
  <si>
    <t>DMU 65 mono block-03</t>
  </si>
  <si>
    <t>12140022443</t>
  </si>
  <si>
    <t>Shot-Peening Machine (ROSLER)</t>
  </si>
  <si>
    <t>Shot Peening Preventive Plan 11001384</t>
  </si>
  <si>
    <t>DMU 65 mono block-04</t>
  </si>
  <si>
    <t>12140022393</t>
  </si>
  <si>
    <t>330000051879</t>
  </si>
  <si>
    <t>DMU 65 mono block-05</t>
  </si>
  <si>
    <t>12140022373</t>
  </si>
  <si>
    <t>320000018346</t>
  </si>
  <si>
    <t>120000018315</t>
  </si>
  <si>
    <t>S304011903</t>
  </si>
  <si>
    <t>y axis cover sensor malfunction</t>
  </si>
  <si>
    <t>DMU 65 mono block-09</t>
  </si>
  <si>
    <t>12140022463</t>
  </si>
  <si>
    <t>SM-01-03</t>
  </si>
  <si>
    <t>08:45:36</t>
  </si>
  <si>
    <t>330000051846</t>
  </si>
  <si>
    <t>08:45:27</t>
  </si>
  <si>
    <t>08:45:24</t>
  </si>
  <si>
    <t>08:00:46</t>
  </si>
  <si>
    <t>Mazak Integrex i-630V-09</t>
  </si>
  <si>
    <t>349956</t>
  </si>
  <si>
    <t>l-630V/6s</t>
  </si>
  <si>
    <t>Monthly Prev. Maint. for Jobs-1</t>
  </si>
  <si>
    <t>12.08.2026</t>
  </si>
  <si>
    <t>330000051848</t>
  </si>
  <si>
    <t>Mazak Integrex i-630V-10</t>
  </si>
  <si>
    <t>349955</t>
  </si>
  <si>
    <t>320000018347</t>
  </si>
  <si>
    <t>120000018238</t>
  </si>
  <si>
    <t>spindle chiller not ok at RDX, Kindly at</t>
  </si>
  <si>
    <t>10:00:25</t>
  </si>
  <si>
    <t>11:00:59</t>
  </si>
  <si>
    <t>Monthly Prev. Maint. ForBavius2M-1</t>
  </si>
  <si>
    <t>Electron Beam Welding Machine</t>
  </si>
  <si>
    <t>GmbH</t>
  </si>
  <si>
    <t>100292</t>
  </si>
  <si>
    <t>EBOCAM EK 36C EG 70</t>
  </si>
  <si>
    <t>11:00:46</t>
  </si>
  <si>
    <t>11:00:58</t>
  </si>
  <si>
    <t>DMU-65MB-1</t>
  </si>
  <si>
    <t>DMG MORI INDIA PVT LTD</t>
  </si>
  <si>
    <t>DMU 65MB</t>
  </si>
  <si>
    <t>330000049390</t>
  </si>
  <si>
    <t>DMU-65MB-2</t>
  </si>
  <si>
    <t>320000019746</t>
  </si>
  <si>
    <t>Yearly Prev. Maint. For Makino1</t>
  </si>
  <si>
    <t>120000018335</t>
  </si>
  <si>
    <t>encoder alarm</t>
  </si>
  <si>
    <t>16.08.2026</t>
  </si>
  <si>
    <t>17:49:15</t>
  </si>
  <si>
    <t>15:48:09</t>
  </si>
  <si>
    <t>17:50:21</t>
  </si>
  <si>
    <t>5_Axis_CMM_Haxagon_GLOBAL LITE_12 22 10</t>
  </si>
  <si>
    <t>Hexagon</t>
  </si>
  <si>
    <t>M1S373ID</t>
  </si>
  <si>
    <t>Ultrasonic Inspection M/C;Fill;C-Scan-2</t>
  </si>
  <si>
    <t>30/02213</t>
  </si>
  <si>
    <t>DRS ACCUBOT UT INSPE</t>
  </si>
  <si>
    <t>Autoclave -8-Scholz-Curing</t>
  </si>
  <si>
    <t>48717</t>
  </si>
  <si>
    <t>320000018804</t>
  </si>
  <si>
    <t>120000018328</t>
  </si>
  <si>
    <t>SPINDLE LUB. CHILLER MALF .</t>
  </si>
  <si>
    <t>07:05:00</t>
  </si>
  <si>
    <t>07:35:48</t>
  </si>
  <si>
    <t>330000051750</t>
  </si>
  <si>
    <t>07:15:41</t>
  </si>
  <si>
    <t>Breton 3-Eagle-5 Axis CNC</t>
  </si>
  <si>
    <t>82926</t>
  </si>
  <si>
    <t>EAGLE E2 2500 SK80</t>
  </si>
  <si>
    <t>07:19:43</t>
  </si>
  <si>
    <t>Breton 4-Eagle-5 Axis CNC</t>
  </si>
  <si>
    <t>S302011541</t>
  </si>
  <si>
    <t>82927</t>
  </si>
  <si>
    <t>MS-02-12</t>
  </si>
  <si>
    <t>330000051843</t>
  </si>
  <si>
    <t>320000018541</t>
  </si>
  <si>
    <t>120000018329</t>
  </si>
  <si>
    <t>HMC 08 COMMUNICATION FAILURE</t>
  </si>
  <si>
    <t>AHU-CCA5-CRT</t>
  </si>
  <si>
    <t>MONTHLY  PREV MAINT FOR 103120000153</t>
  </si>
  <si>
    <t>11:48:41</t>
  </si>
  <si>
    <t>07:21:38</t>
  </si>
  <si>
    <t>07:22:42</t>
  </si>
  <si>
    <t>07:22:50</t>
  </si>
  <si>
    <t>330000051899</t>
  </si>
  <si>
    <t>S302011504</t>
  </si>
  <si>
    <t>320000018542</t>
  </si>
  <si>
    <t>120000018159</t>
  </si>
  <si>
    <t>bavius 2m1 Control panel show in Waiting</t>
  </si>
  <si>
    <t>16:10:00</t>
  </si>
  <si>
    <t>MS-02-04</t>
  </si>
  <si>
    <t>11:55:03</t>
  </si>
  <si>
    <t>24016843</t>
  </si>
  <si>
    <t>17:43:43</t>
  </si>
  <si>
    <t>17:45:52</t>
  </si>
  <si>
    <t>330000051430</t>
  </si>
  <si>
    <t>PUMA V8300-10</t>
  </si>
  <si>
    <t>MT 0049-001065</t>
  </si>
  <si>
    <t>QUARTERLY PREV MAINT FOR 103120000133</t>
  </si>
  <si>
    <t>BRETON 2</t>
  </si>
  <si>
    <t>330000051903</t>
  </si>
  <si>
    <t>320000019747</t>
  </si>
  <si>
    <t>PUMA V8300-9</t>
  </si>
  <si>
    <t>120000018188</t>
  </si>
  <si>
    <t>Cntrol panel automatic blinking</t>
  </si>
  <si>
    <t>MT 0049-001064</t>
  </si>
  <si>
    <t>14:03:00</t>
  </si>
  <si>
    <t>15:51:53</t>
  </si>
  <si>
    <t>14:04:11</t>
  </si>
  <si>
    <t>S304011849</t>
  </si>
  <si>
    <t>PUMA V8300-8</t>
  </si>
  <si>
    <t>30</t>
  </si>
  <si>
    <t>MT 0049-001067</t>
  </si>
  <si>
    <t>PUMA-V8300R</t>
  </si>
  <si>
    <t>330000050129</t>
  </si>
  <si>
    <t>MT 0049-001066</t>
  </si>
  <si>
    <t>320000018331</t>
  </si>
  <si>
    <t>120000018324</t>
  </si>
  <si>
    <t>12.06.2026</t>
  </si>
  <si>
    <t>AXIS moudle genaral alarm</t>
  </si>
  <si>
    <t>15.08.2026</t>
  </si>
  <si>
    <t>02:40:00</t>
  </si>
  <si>
    <t>03:24:00</t>
  </si>
  <si>
    <t>03:24:18</t>
  </si>
  <si>
    <t>Mazak Integrex i-630V-6</t>
  </si>
  <si>
    <t>330000051097</t>
  </si>
  <si>
    <t>349957</t>
  </si>
  <si>
    <t>03:19:45</t>
  </si>
  <si>
    <t>10</t>
  </si>
  <si>
    <t>DMU 65 mono block-06</t>
  </si>
  <si>
    <t>12140022433</t>
  </si>
  <si>
    <t>DMU 65 mono block-07</t>
  </si>
  <si>
    <t>12140022423</t>
  </si>
  <si>
    <t>320000018239</t>
  </si>
  <si>
    <t>120000018323</t>
  </si>
  <si>
    <t>vaccume not reaced</t>
  </si>
  <si>
    <t>01:35:00</t>
  </si>
  <si>
    <t>05:06:14</t>
  </si>
  <si>
    <t>330000051428</t>
  </si>
  <si>
    <t>02:03:38</t>
  </si>
  <si>
    <t>DMU 65 mono block-08</t>
  </si>
  <si>
    <t>12140022413</t>
  </si>
  <si>
    <t>Cold Storage 3-Bluestar-CCA-4</t>
  </si>
  <si>
    <t>QUARTERLY PREV MAINT FOR 103120000021</t>
  </si>
  <si>
    <t>DMU 65 mono block-10</t>
  </si>
  <si>
    <t>12140022453</t>
  </si>
  <si>
    <t>330000051291</t>
  </si>
  <si>
    <t>320000018330</t>
  </si>
  <si>
    <t>ULTRASONIC CORE CUTTING;MULTIAX</t>
  </si>
  <si>
    <t>MULTIAX INTERNATIONAL CNC</t>
  </si>
  <si>
    <t>120000018187</t>
  </si>
  <si>
    <t>T1124</t>
  </si>
  <si>
    <t>Spindle tool release time out</t>
  </si>
  <si>
    <t>MONTHLY PM CHECK FOR DOT PEEN MAKING</t>
  </si>
  <si>
    <t>T0116-3626</t>
  </si>
  <si>
    <t>PAI</t>
  </si>
  <si>
    <t>19:03:24</t>
  </si>
  <si>
    <t>13.08.2026</t>
  </si>
  <si>
    <t>19:30:00</t>
  </si>
  <si>
    <t>B301010412</t>
  </si>
  <si>
    <t>PAINT BOOT</t>
  </si>
  <si>
    <t>Thermal spray-02</t>
  </si>
  <si>
    <t>2600-118570</t>
  </si>
  <si>
    <t>330000051917</t>
  </si>
  <si>
    <t>120000018320</t>
  </si>
  <si>
    <t>runitime pallet changer to position</t>
  </si>
  <si>
    <t>Modig Machine Tool</t>
  </si>
  <si>
    <t>HHV-3-230600</t>
  </si>
  <si>
    <t>S304011804</t>
  </si>
  <si>
    <t>14:58:46</t>
  </si>
  <si>
    <t>15:00:46</t>
  </si>
  <si>
    <t>MS-01-08</t>
  </si>
  <si>
    <t>15:04:35</t>
  </si>
  <si>
    <t>15:02:47</t>
  </si>
  <si>
    <t>330000051460</t>
  </si>
  <si>
    <t>QUARTERLY PREV MAINT FOR 103120000110</t>
  </si>
  <si>
    <t>HHV-3-230601</t>
  </si>
  <si>
    <t>QMC</t>
  </si>
  <si>
    <t>A303081832</t>
  </si>
  <si>
    <t>320000018546</t>
  </si>
  <si>
    <t>120000018307</t>
  </si>
  <si>
    <t>COOLANT HIGH PRESSURE FAULTY</t>
  </si>
  <si>
    <t>NDT ROOM</t>
  </si>
  <si>
    <t>12:25:26</t>
  </si>
  <si>
    <t>NDT BUB</t>
  </si>
  <si>
    <t>14:26:26</t>
  </si>
  <si>
    <t>330000051906</t>
  </si>
  <si>
    <t>12000117</t>
  </si>
  <si>
    <t>HBZ 100/400</t>
  </si>
  <si>
    <t>MONTHLY PREV MAINT FOR 103120000121</t>
  </si>
  <si>
    <t>A303081713</t>
  </si>
  <si>
    <t>320000018545</t>
  </si>
  <si>
    <t>120000018296</t>
  </si>
  <si>
    <t>PNTNG&amp;EDG</t>
  </si>
  <si>
    <t>servo malfunction</t>
  </si>
  <si>
    <t>DALBYPNT</t>
  </si>
  <si>
    <t>12:19:57</t>
  </si>
  <si>
    <t>ROBOT-1_LH WINGS_F-16</t>
  </si>
  <si>
    <t>330000051687</t>
  </si>
  <si>
    <t>09:07:01</t>
  </si>
  <si>
    <t>ABB</t>
  </si>
  <si>
    <t>IRB6700</t>
  </si>
  <si>
    <t>09:08:18</t>
  </si>
  <si>
    <t>ROBOT-2_RH WINGS_F-16</t>
  </si>
  <si>
    <t>330000051685</t>
  </si>
  <si>
    <t>120000018295</t>
  </si>
  <si>
    <t>SPINDLE LUB CHILLER MALF</t>
  </si>
  <si>
    <t>OVEN-1-LEO Surface</t>
  </si>
  <si>
    <t>03:24:26</t>
  </si>
  <si>
    <t>Leo Surface coationgs Pvt.LT</t>
  </si>
  <si>
    <t>NC-EL-3B</t>
  </si>
  <si>
    <t>LSCPL 2425/NC</t>
  </si>
  <si>
    <t>03:26:50</t>
  </si>
  <si>
    <t>A302021161</t>
  </si>
  <si>
    <t>03:25:27</t>
  </si>
  <si>
    <t>22:33:27</t>
  </si>
  <si>
    <t>VTT-AM</t>
  </si>
  <si>
    <t>330000051437</t>
  </si>
  <si>
    <t>BRETON EAGLE E1 N01-02</t>
  </si>
  <si>
    <t>EAGLE E1 1500 SK60</t>
  </si>
  <si>
    <t>320000019318</t>
  </si>
  <si>
    <t>120000018294</t>
  </si>
  <si>
    <t>ATC ARM DRIVER ALARM</t>
  </si>
  <si>
    <t>26.09.2026</t>
  </si>
  <si>
    <t>03:12:18</t>
  </si>
  <si>
    <t>22:03:04</t>
  </si>
  <si>
    <t>Preventive maintenance plan</t>
  </si>
  <si>
    <t>22:05:57</t>
  </si>
  <si>
    <t>03:13:17</t>
  </si>
  <si>
    <t>Paint Booth-3</t>
  </si>
  <si>
    <t>LEO Surface Coatings Pvt.</t>
  </si>
  <si>
    <t>330000051975</t>
  </si>
  <si>
    <t>120000018300</t>
  </si>
  <si>
    <t>air pressure supply not ok</t>
  </si>
  <si>
    <t>WFL M40X Millturn /4500mm - 01</t>
  </si>
  <si>
    <t>BRETON MACHINE MONTHLY PM</t>
  </si>
  <si>
    <t>10:39:16</t>
  </si>
  <si>
    <t>WFL</t>
  </si>
  <si>
    <t>34121401</t>
  </si>
  <si>
    <t>M40X Millturn</t>
  </si>
  <si>
    <t>A100110200</t>
  </si>
  <si>
    <t>10:40:24</t>
  </si>
  <si>
    <t>10:39:40</t>
  </si>
  <si>
    <t>15</t>
  </si>
  <si>
    <t>CMP024</t>
  </si>
  <si>
    <t>330000051292</t>
  </si>
  <si>
    <t>WFL M40X Millturn /4500mm - 02</t>
  </si>
  <si>
    <t>34121501</t>
  </si>
  <si>
    <t>120000018232</t>
  </si>
  <si>
    <t>HVAC-3</t>
  </si>
  <si>
    <t>tool arm stuck</t>
  </si>
  <si>
    <t>MONTHLY PM CHECK FOR HVAC-3</t>
  </si>
  <si>
    <t>02:19:37</t>
  </si>
  <si>
    <t>02:21:30</t>
  </si>
  <si>
    <t>02:20:28</t>
  </si>
  <si>
    <t>WFL M40X Millturn /4500mm - 03</t>
  </si>
  <si>
    <t>34121601</t>
  </si>
  <si>
    <t>DHFAJ-1</t>
  </si>
  <si>
    <t>330000051293</t>
  </si>
  <si>
    <t>Salt Spray Chamber</t>
  </si>
  <si>
    <t>Pacorr Testing</t>
  </si>
  <si>
    <t>PC00930/02/25</t>
  </si>
  <si>
    <t>HVAC-7</t>
  </si>
  <si>
    <t>PCSST-HMI-250-FRP</t>
  </si>
  <si>
    <t>120000018301</t>
  </si>
  <si>
    <t>MONTHLY PM CHECK FOR HVAC-7</t>
  </si>
  <si>
    <t>10:40:49</t>
  </si>
  <si>
    <t>10:41:54</t>
  </si>
  <si>
    <t>10:41:26</t>
  </si>
  <si>
    <t>AF-SA</t>
  </si>
  <si>
    <t>HWACHEON HI-TECH 200A</t>
  </si>
  <si>
    <t>Hwacheon Machine Tool Co. ltd</t>
  </si>
  <si>
    <t>330000051439</t>
  </si>
  <si>
    <t>M013380A4FK</t>
  </si>
  <si>
    <t>Hi-TECH 200A</t>
  </si>
  <si>
    <t>Cold Storage 4-Bluestar-B-4C</t>
  </si>
  <si>
    <t>120000018235</t>
  </si>
  <si>
    <t>QUARTERLY PREV MAINT FOR 103120000040</t>
  </si>
  <si>
    <t>Deep Hole Dill Machine (DHD)</t>
  </si>
  <si>
    <t>tool coolant high pressure failure alarm</t>
  </si>
  <si>
    <t>Torni Tacchi</t>
  </si>
  <si>
    <t>7512</t>
  </si>
  <si>
    <t>13:38:43</t>
  </si>
  <si>
    <t>MOD HD/3 90LS CNC</t>
  </si>
  <si>
    <t>13:44:49</t>
  </si>
  <si>
    <t>13:43:25</t>
  </si>
  <si>
    <t>330000051400</t>
  </si>
  <si>
    <t>VENT450X-03003</t>
  </si>
  <si>
    <t>A202020843</t>
  </si>
  <si>
    <t>CEMB - Balancing Machine</t>
  </si>
  <si>
    <t>CEMB</t>
  </si>
  <si>
    <t>319613</t>
  </si>
  <si>
    <t>ZBK200/TO/S/AERO</t>
  </si>
  <si>
    <t>330000051986</t>
  </si>
  <si>
    <t>De-Greasing Machine</t>
  </si>
  <si>
    <t>De-Greasing</t>
  </si>
  <si>
    <t>18186/25/SH2</t>
  </si>
  <si>
    <t>RSWM-30000</t>
  </si>
  <si>
    <t>320000018219</t>
  </si>
  <si>
    <t>120000018305</t>
  </si>
  <si>
    <t>Spindel cooling not working</t>
  </si>
  <si>
    <t>13:30:50</t>
  </si>
  <si>
    <t>PL2</t>
  </si>
  <si>
    <t>14:10:43</t>
  </si>
  <si>
    <t>DAIHEN CORPORATION</t>
  </si>
  <si>
    <t>1L11750YZ5485710</t>
  </si>
  <si>
    <t>A201010543</t>
  </si>
  <si>
    <t>14:10:49</t>
  </si>
  <si>
    <t>13:21:50</t>
  </si>
  <si>
    <t>330000051983</t>
  </si>
  <si>
    <t>TAV VACUUM FURNACES SPA</t>
  </si>
  <si>
    <t>987</t>
  </si>
  <si>
    <t>TPVH-SE 100/250</t>
  </si>
  <si>
    <t>320000018218</t>
  </si>
  <si>
    <t>120000018306</t>
  </si>
  <si>
    <t>EMAG  (gear hobbing machine)</t>
  </si>
  <si>
    <t>Tool change fault</t>
  </si>
  <si>
    <t>EMAG SU</t>
  </si>
  <si>
    <t>118523</t>
  </si>
  <si>
    <t>15:20:00</t>
  </si>
  <si>
    <t>CLC 200</t>
  </si>
  <si>
    <t>15:20:21</t>
  </si>
  <si>
    <t>14:01:58</t>
  </si>
  <si>
    <t>S304011803</t>
  </si>
  <si>
    <t>Danobat_Grinding Machine</t>
  </si>
  <si>
    <t>Danobat</t>
  </si>
  <si>
    <t>110000737</t>
  </si>
  <si>
    <t>MS-03-01</t>
  </si>
  <si>
    <t>HG-72-3000-B8</t>
  </si>
  <si>
    <t>330000050869</t>
  </si>
  <si>
    <t>320000018217</t>
  </si>
  <si>
    <t>120000018308</t>
  </si>
  <si>
    <t>ROSLER</t>
  </si>
  <si>
    <t>Blum not working</t>
  </si>
  <si>
    <t>FR30.000183-115364</t>
  </si>
  <si>
    <t>ARD 1900 R GV2 P S</t>
  </si>
  <si>
    <t>18:00:04</t>
  </si>
  <si>
    <t>330000049476</t>
  </si>
  <si>
    <t>14:49:37</t>
  </si>
  <si>
    <t>FR30.000185-115535</t>
  </si>
  <si>
    <t>ARD 2200 S1 R GV2 P</t>
  </si>
  <si>
    <t>320000018324</t>
  </si>
  <si>
    <t>120000018253</t>
  </si>
  <si>
    <t>S302011531</t>
  </si>
  <si>
    <t>LVT FURNACE HEATER NOT WORKING</t>
  </si>
  <si>
    <t>11:27:45</t>
  </si>
  <si>
    <t>AE-03-06</t>
  </si>
  <si>
    <t>HAAS Automation INC</t>
  </si>
  <si>
    <t>1214726</t>
  </si>
  <si>
    <t>330000051985</t>
  </si>
  <si>
    <t>Video jet part marking machine-3</t>
  </si>
  <si>
    <t>Videojet Technologies Pvt Ltd</t>
  </si>
  <si>
    <t>24102001C61ZH</t>
  </si>
  <si>
    <t>1880</t>
  </si>
  <si>
    <t>330000050871</t>
  </si>
  <si>
    <t>DN Solutions</t>
  </si>
  <si>
    <t>MM0044-000021</t>
  </si>
  <si>
    <t>Puma SMX5100XL</t>
  </si>
  <si>
    <t>320000019044</t>
  </si>
  <si>
    <t>120000018270</t>
  </si>
  <si>
    <t>ATC DOOR ISSUE</t>
  </si>
  <si>
    <t>06:20:00</t>
  </si>
  <si>
    <t>14:11:27</t>
  </si>
  <si>
    <t>Doosan-1</t>
  </si>
  <si>
    <t>06:20:38</t>
  </si>
  <si>
    <t>330000051519</t>
  </si>
  <si>
    <t>06:21:40</t>
  </si>
  <si>
    <t>PUMA-SMX5100XL</t>
  </si>
  <si>
    <t>330000051492</t>
  </si>
  <si>
    <t>EMAG Gear hobbing machine</t>
  </si>
  <si>
    <t>EMAG</t>
  </si>
  <si>
    <t>120000018287</t>
  </si>
  <si>
    <t>PERMISSIBLE SPINDLE TEMPERATURE EXCEEDED</t>
  </si>
  <si>
    <t>21:52:17</t>
  </si>
  <si>
    <t>Preductive Maint Bavious . 2  11000450</t>
  </si>
  <si>
    <t>21:56:45</t>
  </si>
  <si>
    <t>21:55:16</t>
  </si>
  <si>
    <t>330000051493</t>
  </si>
  <si>
    <t>CGM - MPI Machine</t>
  </si>
  <si>
    <t>CGM CIGIEMME S.p.A. (Italy)</t>
  </si>
  <si>
    <t>22112</t>
  </si>
  <si>
    <t>CBM 2500/2 X 400</t>
  </si>
  <si>
    <t>Preductive Maint Bavious . 3  11000451</t>
  </si>
  <si>
    <t>320000018902</t>
  </si>
  <si>
    <t>120000018282</t>
  </si>
  <si>
    <t>Deep Hole Drilling Machine</t>
  </si>
  <si>
    <t>Tacchi Torni</t>
  </si>
  <si>
    <t>330000051491</t>
  </si>
  <si>
    <t>switch reduction gear alarm</t>
  </si>
  <si>
    <t>14:50:00</t>
  </si>
  <si>
    <t>03:49:41</t>
  </si>
  <si>
    <t>15:02:44</t>
  </si>
  <si>
    <t>preductive mainteance TR120 11000455</t>
  </si>
  <si>
    <t>15:04:19</t>
  </si>
  <si>
    <t>Shaft Balance &amp; Milling Machine</t>
  </si>
  <si>
    <t>120000018269</t>
  </si>
  <si>
    <t>Z AXIS ENCODER ISSUE</t>
  </si>
  <si>
    <t>06:16:10</t>
  </si>
  <si>
    <t>SURFEX - Shot Peening Machine</t>
  </si>
  <si>
    <t>330000051963</t>
  </si>
  <si>
    <t>Surface Finishing Equipment Co</t>
  </si>
  <si>
    <t>525/2025</t>
  </si>
  <si>
    <t>SPB-155.135.160-SPL</t>
  </si>
  <si>
    <t>06:20:15</t>
  </si>
  <si>
    <t>06:18:56</t>
  </si>
  <si>
    <t>AHU-CCA4A-Voltas</t>
  </si>
  <si>
    <t>MONTHLY  PREV MAINT FOR 103120000022</t>
  </si>
  <si>
    <t>CLEANROOM</t>
  </si>
  <si>
    <t>330000052000</t>
  </si>
  <si>
    <t>Mak Clean</t>
  </si>
  <si>
    <t>KRISH/MAK/Q032/R0</t>
  </si>
  <si>
    <t>KRISH/Mak/Q032/R0</t>
  </si>
  <si>
    <t>PAINT-BOOTH CUM OVEN - 1</t>
  </si>
  <si>
    <t>MONTHLY_PM_PB - 1</t>
  </si>
  <si>
    <t>Modig HHV-3-D</t>
  </si>
  <si>
    <t>HHV3-230594</t>
  </si>
  <si>
    <t>320000018337</t>
  </si>
  <si>
    <t>120000018283</t>
  </si>
  <si>
    <t>PB</t>
  </si>
  <si>
    <t>tool pull out d16mm hf</t>
  </si>
  <si>
    <t>330000052001</t>
  </si>
  <si>
    <t>15:28:18</t>
  </si>
  <si>
    <t>14:47:41</t>
  </si>
  <si>
    <t>Fume Extraction System-2</t>
  </si>
  <si>
    <t>15:29:21</t>
  </si>
  <si>
    <t>PAINT-BOOTH CUM OVEN - 2</t>
  </si>
  <si>
    <t>252635</t>
  </si>
  <si>
    <t>WFC 6000 GE</t>
  </si>
  <si>
    <t>MONTHLY_PM_PB - 2</t>
  </si>
  <si>
    <t>Tap test reference standard (Carbon)</t>
  </si>
  <si>
    <t>330000052032</t>
  </si>
  <si>
    <t>120000018281</t>
  </si>
  <si>
    <t>14:48:05</t>
  </si>
  <si>
    <t>14:56:05</t>
  </si>
  <si>
    <t>MONTHLY PM CHECK SPRAYBOOTH OVEN(BTO)</t>
  </si>
  <si>
    <t>14:59:12</t>
  </si>
  <si>
    <t>14:57:38</t>
  </si>
  <si>
    <t>Tap test reference standard (Glass)</t>
  </si>
  <si>
    <t>SPRAY_OVEN</t>
  </si>
  <si>
    <t>330000052033</t>
  </si>
  <si>
    <t>MONTHLY PM CHECK FOR EOT CRANE-2</t>
  </si>
  <si>
    <t>34121701</t>
  </si>
  <si>
    <t>CAPHF1-1</t>
  </si>
  <si>
    <t>330000052022</t>
  </si>
  <si>
    <t>34121801</t>
  </si>
  <si>
    <t>120000018279</t>
  </si>
  <si>
    <t>Monthly Preventive maintenance</t>
  </si>
  <si>
    <t>CHEMETALL SEALENT MIXING MACHINE</t>
  </si>
  <si>
    <t>H MEYER/ CHEMETALL</t>
  </si>
  <si>
    <t>26152</t>
  </si>
  <si>
    <t>06:31:02</t>
  </si>
  <si>
    <t>MC INJECTION</t>
  </si>
  <si>
    <t>L301010305</t>
  </si>
  <si>
    <t>PAA</t>
  </si>
  <si>
    <t>11:51:02</t>
  </si>
  <si>
    <t>MFG-PAAL</t>
  </si>
  <si>
    <t>330000052026</t>
  </si>
  <si>
    <t>fronius i wave 230i</t>
  </si>
  <si>
    <t>33456321</t>
  </si>
  <si>
    <t>i wave 230i/ac/dc/ef</t>
  </si>
  <si>
    <t>11:57:38</t>
  </si>
  <si>
    <t>11:54:48</t>
  </si>
  <si>
    <t>Memmert Oven for TS</t>
  </si>
  <si>
    <t>L201010013</t>
  </si>
  <si>
    <t>Memmert</t>
  </si>
  <si>
    <t>UF160</t>
  </si>
  <si>
    <t>330000052028</t>
  </si>
  <si>
    <t>Alphie-10  Tumbling Machine</t>
  </si>
  <si>
    <t>Hexagon product development</t>
  </si>
  <si>
    <t>120000018268</t>
  </si>
  <si>
    <t>Alphie-10</t>
  </si>
  <si>
    <t>06:13:50</t>
  </si>
  <si>
    <t>06:15:25</t>
  </si>
  <si>
    <t>Mec 35371 wet grit blasting machine</t>
  </si>
  <si>
    <t>22:30:50</t>
  </si>
  <si>
    <t>MEC Shot Blasting Equipments</t>
  </si>
  <si>
    <t>Wet Grit Blaster</t>
  </si>
  <si>
    <t>MS-01-09</t>
  </si>
  <si>
    <t>330000050902</t>
  </si>
  <si>
    <t>Mazak Integrex i630 V/6S-28</t>
  </si>
  <si>
    <t>Yamazaki Mazak Corporation</t>
  </si>
  <si>
    <t>371975</t>
  </si>
  <si>
    <t>S302011530</t>
  </si>
  <si>
    <t>320000018516</t>
  </si>
  <si>
    <t>120000018277</t>
  </si>
  <si>
    <t>Mazak- 3 N01-01</t>
  </si>
  <si>
    <t>automatic shutdown</t>
  </si>
  <si>
    <t>Mazak Integrex i630 V/6S-29</t>
  </si>
  <si>
    <t>AE-03-05</t>
  </si>
  <si>
    <t>00:30:26</t>
  </si>
  <si>
    <t>371974</t>
  </si>
  <si>
    <t>10:58:26</t>
  </si>
  <si>
    <t>330000052029</t>
  </si>
  <si>
    <t>11:00:53</t>
  </si>
  <si>
    <t>Mazak Integrex i630 V/6S-30</t>
  </si>
  <si>
    <t>371976</t>
  </si>
  <si>
    <t>S302011532</t>
  </si>
  <si>
    <t>AE-03-07</t>
  </si>
  <si>
    <t>320000018534</t>
  </si>
  <si>
    <t>330000051549</t>
  </si>
  <si>
    <t>Mazak Integrex i630 V/6S-31</t>
  </si>
  <si>
    <t>371977</t>
  </si>
  <si>
    <t>120000018128</t>
  </si>
  <si>
    <t>vaccume not reached</t>
  </si>
  <si>
    <t>12:00:00</t>
  </si>
  <si>
    <t>00:34:38</t>
  </si>
  <si>
    <t>11:52:36</t>
  </si>
  <si>
    <t>11:53:54</t>
  </si>
  <si>
    <t>AIR COMPRESSOR-1 (250 CFM)</t>
  </si>
  <si>
    <t>ATLAS CO-OPCO</t>
  </si>
  <si>
    <t>PNA-923526</t>
  </si>
  <si>
    <t>GA 37+</t>
  </si>
  <si>
    <t>U</t>
  </si>
  <si>
    <t>330000052004</t>
  </si>
  <si>
    <t>AIR COMPRESSOR-2 (250 CFM)</t>
  </si>
  <si>
    <t>PNA-923527</t>
  </si>
  <si>
    <t>120000018156</t>
  </si>
  <si>
    <t>Coolant leakage from bottom side of mach</t>
  </si>
  <si>
    <t>08:46:28</t>
  </si>
  <si>
    <t>08:49:34</t>
  </si>
  <si>
    <t>MONTHLY PREV MAINT FOR 103120000034</t>
  </si>
  <si>
    <t>08:48:43</t>
  </si>
  <si>
    <t>Atlas Copco</t>
  </si>
  <si>
    <t>CNO157603</t>
  </si>
  <si>
    <t>A303081726</t>
  </si>
  <si>
    <t>FX158102132589</t>
  </si>
  <si>
    <t>AE ENG DBA</t>
  </si>
  <si>
    <t>BLASTTRN</t>
  </si>
  <si>
    <t>330000051376</t>
  </si>
  <si>
    <t>AIR COMPRESSOR-3 (250CFM)</t>
  </si>
  <si>
    <t>ATLAS COPCO</t>
  </si>
  <si>
    <t>PNA-107871</t>
  </si>
  <si>
    <t>GA37+AWP</t>
  </si>
  <si>
    <t>320000018234</t>
  </si>
  <si>
    <t>120000018278</t>
  </si>
  <si>
    <t>router 1 idle due dust collector not wor</t>
  </si>
  <si>
    <t>11:40:44</t>
  </si>
  <si>
    <t>12:42:29</t>
  </si>
  <si>
    <t>11:42:20</t>
  </si>
  <si>
    <t>QUARTERLY PREV MAINT FOR 103120000138</t>
  </si>
  <si>
    <t>CA1677336</t>
  </si>
  <si>
    <t>FX 13(A11)</t>
  </si>
  <si>
    <t>A303081742</t>
  </si>
  <si>
    <t>330000051902</t>
  </si>
  <si>
    <t>UPS 40 KVA ( PLANT-3)</t>
  </si>
  <si>
    <t>APC - Schneider</t>
  </si>
  <si>
    <t>UJ1347101485</t>
  </si>
  <si>
    <t>MGE GALAXY 300</t>
  </si>
  <si>
    <t>320000018550</t>
  </si>
  <si>
    <t>120000018266</t>
  </si>
  <si>
    <t>Router 1 dust collector Updown signal mi</t>
  </si>
  <si>
    <t>13:42:40</t>
  </si>
  <si>
    <t>UPS-1_40kVA_APC-Schneider_E3SUPS40KH</t>
  </si>
  <si>
    <t>APC-SCHNEIDER ELECTRIC</t>
  </si>
  <si>
    <t>03:08:50</t>
  </si>
  <si>
    <t>9E1830T11407</t>
  </si>
  <si>
    <t>E3SUPS40KH</t>
  </si>
  <si>
    <t>03:11:25</t>
  </si>
  <si>
    <t>PNE611068</t>
  </si>
  <si>
    <t>GA37VSD P A</t>
  </si>
  <si>
    <t>S304011836</t>
  </si>
  <si>
    <t>120000018272</t>
  </si>
  <si>
    <t>SECO FURNACE N01-02</t>
  </si>
  <si>
    <t>SSF furnace charge trolley wheel bearing</t>
  </si>
  <si>
    <t>MS-03-16</t>
  </si>
  <si>
    <t>08:54:47</t>
  </si>
  <si>
    <t>HTT</t>
  </si>
  <si>
    <t>330000051698</t>
  </si>
  <si>
    <t>08:55:02</t>
  </si>
  <si>
    <t>PNE611108</t>
  </si>
  <si>
    <t>1041-HTT-HT</t>
  </si>
  <si>
    <t>PREDUCTIVE MAINTENANCE BAVIUS 4M-02</t>
  </si>
  <si>
    <t>CNO201923</t>
  </si>
  <si>
    <t>FXe15 8102493676</t>
  </si>
  <si>
    <t>320000018326</t>
  </si>
  <si>
    <t>330000051697</t>
  </si>
  <si>
    <t>120000018158</t>
  </si>
  <si>
    <t>SAMSUNG</t>
  </si>
  <si>
    <t>HOT WATER PIPE LEAKAGE</t>
  </si>
  <si>
    <t>AM260KXVANH</t>
  </si>
  <si>
    <t>17:48:05</t>
  </si>
  <si>
    <t>19:48:32</t>
  </si>
  <si>
    <t>QUARTERLY PM OF BAVIUS 4M</t>
  </si>
  <si>
    <t>330000052056</t>
  </si>
  <si>
    <t>320000018279</t>
  </si>
  <si>
    <t>120000018280</t>
  </si>
  <si>
    <t>Atc door not in home position</t>
  </si>
  <si>
    <t>MONTHLY MAINTENANCE BAVIUS 4M</t>
  </si>
  <si>
    <t>12:15:00</t>
  </si>
  <si>
    <t>13:10:00</t>
  </si>
  <si>
    <t>HVAC-4</t>
  </si>
  <si>
    <t>330000052027</t>
  </si>
  <si>
    <t>Robor-1</t>
  </si>
  <si>
    <t>320000018350</t>
  </si>
  <si>
    <t>120000018127</t>
  </si>
  <si>
    <t>While Running Time Machine Was Stopped</t>
  </si>
  <si>
    <t>L201010244</t>
  </si>
  <si>
    <t>21:15:00</t>
  </si>
  <si>
    <t>TLMLBAY_02</t>
  </si>
  <si>
    <t>1162R-S2</t>
  </si>
  <si>
    <t>20:55:00</t>
  </si>
  <si>
    <t>330000052035</t>
  </si>
  <si>
    <t>320000018989</t>
  </si>
  <si>
    <t>120000018231</t>
  </si>
  <si>
    <t>HVAC-8</t>
  </si>
  <si>
    <t>Tool not change in running program</t>
  </si>
  <si>
    <t>16:21:33</t>
  </si>
  <si>
    <t>14:00:37</t>
  </si>
  <si>
    <t>14:02:55</t>
  </si>
  <si>
    <t>330000051289</t>
  </si>
  <si>
    <t>WX-670WV2GN1</t>
  </si>
  <si>
    <t>QUARTERLY PREVENTIVE MAINTENANCE CHECK</t>
  </si>
  <si>
    <t>120000018240</t>
  </si>
  <si>
    <t>EOT CRANE 1</t>
  </si>
  <si>
    <t>Kone Cranes</t>
  </si>
  <si>
    <t>KS0764</t>
  </si>
  <si>
    <t>16:26:14</t>
  </si>
  <si>
    <t>KS</t>
  </si>
  <si>
    <t>330000051605</t>
  </si>
  <si>
    <t>16:27:52</t>
  </si>
  <si>
    <t>16:26:42</t>
  </si>
  <si>
    <t>EOT CRANE 2</t>
  </si>
  <si>
    <t>KS0763</t>
  </si>
  <si>
    <t>S304011802</t>
  </si>
  <si>
    <t>EOT CRANE 3</t>
  </si>
  <si>
    <t>KS0762</t>
  </si>
  <si>
    <t>320000018301</t>
  </si>
  <si>
    <t>120000018242</t>
  </si>
  <si>
    <t>coolant high pressure</t>
  </si>
  <si>
    <t>00:42:26</t>
  </si>
  <si>
    <t>16:35:33</t>
  </si>
  <si>
    <t>16:38:50</t>
  </si>
  <si>
    <t>MS-01-04</t>
  </si>
  <si>
    <t>PNE110661</t>
  </si>
  <si>
    <t>GA37LVSD+PA</t>
  </si>
  <si>
    <t>330000052071</t>
  </si>
  <si>
    <t>PNE110513</t>
  </si>
  <si>
    <t>S302011503</t>
  </si>
  <si>
    <t>320000018996</t>
  </si>
  <si>
    <t>120000018241</t>
  </si>
  <si>
    <t>MS-03-06</t>
  </si>
  <si>
    <t>16:30:04</t>
  </si>
  <si>
    <t>17:17:20</t>
  </si>
  <si>
    <t>330000051608</t>
  </si>
  <si>
    <t>DG SET-1</t>
  </si>
  <si>
    <t>POWARICA</t>
  </si>
  <si>
    <t>07/1106/00585</t>
  </si>
  <si>
    <t>PTS/KF14-01</t>
  </si>
  <si>
    <t>16:30:24</t>
  </si>
  <si>
    <t>S304011711</t>
  </si>
  <si>
    <t>SP-09-01</t>
  </si>
  <si>
    <t>DG SET-2</t>
  </si>
  <si>
    <t>07/1106/00584</t>
  </si>
  <si>
    <t>330000049516</t>
  </si>
  <si>
    <t>320000018300</t>
  </si>
  <si>
    <t>120000018247</t>
  </si>
  <si>
    <t>COOLANT PRESSURE HIGH</t>
  </si>
  <si>
    <t>19:15:00</t>
  </si>
  <si>
    <t>00:31:21</t>
  </si>
  <si>
    <t>19:16:12</t>
  </si>
  <si>
    <t>DG SET-3</t>
  </si>
  <si>
    <t>19:17:50</t>
  </si>
  <si>
    <t>07/1106/00618</t>
  </si>
  <si>
    <t>S302011528</t>
  </si>
  <si>
    <t>AE-02-03</t>
  </si>
  <si>
    <t>DG SET-4</t>
  </si>
  <si>
    <t>330000050929</t>
  </si>
  <si>
    <t>320000018984</t>
  </si>
  <si>
    <t>120000018228</t>
  </si>
  <si>
    <t>07/1106/00608</t>
  </si>
  <si>
    <t>cooling unit not operational</t>
  </si>
  <si>
    <t>15:15:58</t>
  </si>
  <si>
    <t>15:32:15</t>
  </si>
  <si>
    <t>15:24:58</t>
  </si>
  <si>
    <t>15:26:41</t>
  </si>
  <si>
    <t>DG SET-5</t>
  </si>
  <si>
    <t>07/1106/00597</t>
  </si>
  <si>
    <t>330000052073</t>
  </si>
  <si>
    <t>DG SET-6</t>
  </si>
  <si>
    <t>320000018233</t>
  </si>
  <si>
    <t>07/1106/00605</t>
  </si>
  <si>
    <t>120000018210</t>
  </si>
  <si>
    <t>CHIP  CONVEYOR STOP</t>
  </si>
  <si>
    <t>S304011839</t>
  </si>
  <si>
    <t>23:56:38</t>
  </si>
  <si>
    <t>03:33:17</t>
  </si>
  <si>
    <t>MS-02-10</t>
  </si>
  <si>
    <t>330000051610</t>
  </si>
  <si>
    <t>03:34:49</t>
  </si>
  <si>
    <t>PNA-107869</t>
  </si>
  <si>
    <t>GA37+AP</t>
  </si>
  <si>
    <t>PNA-107868</t>
  </si>
  <si>
    <t>320000018980</t>
  </si>
  <si>
    <t>330000050931</t>
  </si>
  <si>
    <t>120000018261</t>
  </si>
  <si>
    <t>Automatic Machine Stopped</t>
  </si>
  <si>
    <t>15:07:11</t>
  </si>
  <si>
    <t>23:10:03</t>
  </si>
  <si>
    <t>23:11:45</t>
  </si>
  <si>
    <t>HYDROCHEM</t>
  </si>
  <si>
    <t>8110349</t>
  </si>
  <si>
    <t>TRANSFORMER-1</t>
  </si>
  <si>
    <t>VOLTAMP</t>
  </si>
  <si>
    <t>330000051611</t>
  </si>
  <si>
    <t>320000018910</t>
  </si>
  <si>
    <t>120000018216</t>
  </si>
  <si>
    <t>04:51:03</t>
  </si>
  <si>
    <t>07:06:54</t>
  </si>
  <si>
    <t>07:07:35</t>
  </si>
  <si>
    <t>TRANSFORMER-2</t>
  </si>
  <si>
    <t>06:48:35</t>
  </si>
  <si>
    <t>S302011533</t>
  </si>
  <si>
    <t>AE-03-08</t>
  </si>
  <si>
    <t>330000052074</t>
  </si>
  <si>
    <t>PCC PANEL</t>
  </si>
  <si>
    <t>ACCUSONIC</t>
  </si>
  <si>
    <t>320000018277</t>
  </si>
  <si>
    <t>120000018208</t>
  </si>
  <si>
    <t>SPINDLE WARNING &amp; OVERLOADED</t>
  </si>
  <si>
    <t>01:29:13</t>
  </si>
  <si>
    <t>13:43:53</t>
  </si>
  <si>
    <t>01:30:37</t>
  </si>
  <si>
    <t>UPS-6  175KVA SNK</t>
  </si>
  <si>
    <t>330000051920</t>
  </si>
  <si>
    <t>FIRE SPRINKLER SYSTEM</t>
  </si>
  <si>
    <t>UTCFS</t>
  </si>
  <si>
    <t>320000018213</t>
  </si>
  <si>
    <t>120000018048</t>
  </si>
  <si>
    <t>ATC CV Alarm.</t>
  </si>
  <si>
    <t>00:23:13</t>
  </si>
  <si>
    <t>13:00:10</t>
  </si>
  <si>
    <t>00:24:05</t>
  </si>
  <si>
    <t>FIRE ALARM SYSTEM</t>
  </si>
  <si>
    <t>330000052043</t>
  </si>
  <si>
    <t>BORE WELL-1</t>
  </si>
  <si>
    <t>320000018983</t>
  </si>
  <si>
    <t>120000018212</t>
  </si>
  <si>
    <t>colant high presure alarm</t>
  </si>
  <si>
    <t>Monthly Prev. Maint. for Mazak-2</t>
  </si>
  <si>
    <t>15:28:07</t>
  </si>
  <si>
    <t>05:44:50</t>
  </si>
  <si>
    <t>A303110109</t>
  </si>
  <si>
    <t>05:46:22</t>
  </si>
  <si>
    <t>MAIN BUILDING (SHOP FLOOR)</t>
  </si>
  <si>
    <t>1204</t>
  </si>
  <si>
    <t>TBSL</t>
  </si>
  <si>
    <t>330000052036</t>
  </si>
  <si>
    <t>ACCUSONIC BUS TRUNCK PANEL 8 (AES)</t>
  </si>
  <si>
    <t>320000018278</t>
  </si>
  <si>
    <t>120000018154</t>
  </si>
  <si>
    <t>Main spindle emergency stop</t>
  </si>
  <si>
    <t>12:20:00</t>
  </si>
  <si>
    <t>02:46:42</t>
  </si>
  <si>
    <t>Monthly Prev. Maint. For Jyoti-1</t>
  </si>
  <si>
    <t>12:26:09</t>
  </si>
  <si>
    <t>07:09:47</t>
  </si>
  <si>
    <t>12:26:56</t>
  </si>
  <si>
    <t>TR-1 CAPACITOR PANEL-1</t>
  </si>
  <si>
    <t>330000051580</t>
  </si>
  <si>
    <t>TR-2 CAPACITOR PANEL</t>
  </si>
  <si>
    <t>320000018990</t>
  </si>
  <si>
    <t>120000018250</t>
  </si>
  <si>
    <t>sp1 not home position alarm</t>
  </si>
  <si>
    <t>16:27:05</t>
  </si>
  <si>
    <t>20:36:48</t>
  </si>
  <si>
    <t>QUARTERLY PREV MAINT FOR 103120000156</t>
  </si>
  <si>
    <t>BAA</t>
  </si>
  <si>
    <t>UPS-7  20KVA- AES</t>
  </si>
  <si>
    <t>20:37:55</t>
  </si>
  <si>
    <t>A303081721</t>
  </si>
  <si>
    <t>AE STR ABA</t>
  </si>
  <si>
    <t>THERLEK2</t>
  </si>
  <si>
    <t>330000052136</t>
  </si>
  <si>
    <t>320000018302</t>
  </si>
  <si>
    <t>120000018209</t>
  </si>
  <si>
    <t>AIR COMPRESSOR GX5 FF RR-AES</t>
  </si>
  <si>
    <t>router 3 showing spindle xp fault  alarm</t>
  </si>
  <si>
    <t>01:40:00</t>
  </si>
  <si>
    <t>00:55:31</t>
  </si>
  <si>
    <t>GX5 FF 200</t>
  </si>
  <si>
    <t>01:37:34</t>
  </si>
  <si>
    <t>02:57:19</t>
  </si>
  <si>
    <t>MONTHLY MAINTENANCE ROUTER-03</t>
  </si>
  <si>
    <t>01:38:55</t>
  </si>
  <si>
    <t>A304110308</t>
  </si>
  <si>
    <t>HVAC PANEL-AES</t>
  </si>
  <si>
    <t>KSG PROJECTS</t>
  </si>
  <si>
    <t>SHEETMETAL</t>
  </si>
  <si>
    <t>5507</t>
  </si>
  <si>
    <t>330000052644</t>
  </si>
  <si>
    <t>320000018321</t>
  </si>
  <si>
    <t>120000018215</t>
  </si>
  <si>
    <t>Convyor breakdown</t>
  </si>
  <si>
    <t>06:55:00</t>
  </si>
  <si>
    <t>SHOP DB-AES</t>
  </si>
  <si>
    <t>SCHNEIDER ELECTRIC</t>
  </si>
  <si>
    <t>AIR WASHER UNIT-AES</t>
  </si>
  <si>
    <t>ZECO</t>
  </si>
  <si>
    <t>1533201</t>
  </si>
  <si>
    <t>ZDS-300</t>
  </si>
  <si>
    <t>320000018199</t>
  </si>
  <si>
    <t>120000018245</t>
  </si>
  <si>
    <t>Spindle drive 1 not ready &amp; emergency.</t>
  </si>
  <si>
    <t>17:30:00</t>
  </si>
  <si>
    <t>UPS 8 20KVA-RADIOGRAPHY</t>
  </si>
  <si>
    <t>B21628002217</t>
  </si>
  <si>
    <t>SURT20KUXI</t>
  </si>
  <si>
    <t>17:39:23</t>
  </si>
  <si>
    <t>UPS 9 20KVA TUBE SHOP WELDING</t>
  </si>
  <si>
    <t>Monthly Preventive Maintenance</t>
  </si>
  <si>
    <t>B21634001176</t>
  </si>
  <si>
    <t>320000018198</t>
  </si>
  <si>
    <t>S304011853</t>
  </si>
  <si>
    <t>120000018149</t>
  </si>
  <si>
    <t>Vaccum pump abnormal sound</t>
  </si>
  <si>
    <t>MS-02-14</t>
  </si>
  <si>
    <t>AIR DRIER-KAESER</t>
  </si>
  <si>
    <t>KAESER</t>
  </si>
  <si>
    <t>1016-7218840</t>
  </si>
  <si>
    <t>TG 450</t>
  </si>
  <si>
    <t>330000051557</t>
  </si>
  <si>
    <t>14:05:43</t>
  </si>
  <si>
    <t>CRT</t>
  </si>
  <si>
    <t>Air Compressor-04</t>
  </si>
  <si>
    <t>320000018236</t>
  </si>
  <si>
    <t>120000018049</t>
  </si>
  <si>
    <t>5TH AXIS ROTARY BREAK ENGAGEMENT FAILURE</t>
  </si>
  <si>
    <t>330000051751</t>
  </si>
  <si>
    <t>08:44:19</t>
  </si>
  <si>
    <t>BLUESTAR</t>
  </si>
  <si>
    <t>320000018747</t>
  </si>
  <si>
    <t>120000018191</t>
  </si>
  <si>
    <t>ATC DOOR NOT OPEN</t>
  </si>
  <si>
    <t>04:27:11</t>
  </si>
  <si>
    <t>TLR</t>
  </si>
  <si>
    <t>17:44:58</t>
  </si>
  <si>
    <t>330000052154</t>
  </si>
  <si>
    <t>S304011704</t>
  </si>
  <si>
    <t>120000018166</t>
  </si>
  <si>
    <t>TOOL CHANGE NOT POSSIBLE</t>
  </si>
  <si>
    <t>HEAT TREAT</t>
  </si>
  <si>
    <t>TAML-PEM-24</t>
  </si>
  <si>
    <t>SP-01-03</t>
  </si>
  <si>
    <t>05:10:31</t>
  </si>
  <si>
    <t>05:42:31</t>
  </si>
  <si>
    <t>330000052155</t>
  </si>
  <si>
    <t>05:45:22</t>
  </si>
  <si>
    <t>05:44:06</t>
  </si>
  <si>
    <t>AHU-CCA3-Voltas</t>
  </si>
  <si>
    <t>CUMMINS / STAMFORD</t>
  </si>
  <si>
    <t>25320801 / 07111756</t>
  </si>
  <si>
    <t>320000018742</t>
  </si>
  <si>
    <t>KTA-19-G9</t>
  </si>
  <si>
    <t>120000018198</t>
  </si>
  <si>
    <t>03:57:43</t>
  </si>
  <si>
    <t>19:52:19</t>
  </si>
  <si>
    <t>330000051645</t>
  </si>
  <si>
    <t>19:53:57</t>
  </si>
  <si>
    <t>DG Set-4-1500 KVA-CUMMINS</t>
  </si>
  <si>
    <t>25328402 / 07122437</t>
  </si>
  <si>
    <t>KTA-50-68-I/P1734C2</t>
  </si>
  <si>
    <t>INAC INST</t>
  </si>
  <si>
    <t>25338350</t>
  </si>
  <si>
    <t>KTA-50-G8-I</t>
  </si>
  <si>
    <t>330000049581</t>
  </si>
  <si>
    <t>320000018743</t>
  </si>
  <si>
    <t>120000018205</t>
  </si>
  <si>
    <t>Z-AXIS DRIVE FAULT</t>
  </si>
  <si>
    <t>04:02:00</t>
  </si>
  <si>
    <t>23:49:05</t>
  </si>
  <si>
    <t>25341426</t>
  </si>
  <si>
    <t>23:50:16</t>
  </si>
  <si>
    <t>23:50:23</t>
  </si>
  <si>
    <t>Softener Plant-Thermax-Pump House</t>
  </si>
  <si>
    <t>THERMAX</t>
  </si>
  <si>
    <t>330000049582</t>
  </si>
  <si>
    <t>320000018303</t>
  </si>
  <si>
    <t>120000018204</t>
  </si>
  <si>
    <t>spindle cooling tank level low</t>
  </si>
  <si>
    <t>03:52:09</t>
  </si>
  <si>
    <t>23:29:44</t>
  </si>
  <si>
    <t>23:31:07</t>
  </si>
  <si>
    <t>S302011529</t>
  </si>
  <si>
    <t>AE-02-04</t>
  </si>
  <si>
    <t>330000052156</t>
  </si>
  <si>
    <t>Chiller-1-240TR-Voltas</t>
  </si>
  <si>
    <t>2A82000028</t>
  </si>
  <si>
    <t>120000018163</t>
  </si>
  <si>
    <t>softthermal</t>
  </si>
  <si>
    <t>00:50:42</t>
  </si>
  <si>
    <t>03:10:42</t>
  </si>
  <si>
    <t>03:13:54</t>
  </si>
  <si>
    <t>00:50:23</t>
  </si>
  <si>
    <t>Chiller-2-240TR-Voltas</t>
  </si>
  <si>
    <t>2A82000277</t>
  </si>
  <si>
    <t>AFHX2405SR</t>
  </si>
  <si>
    <t>330000050975</t>
  </si>
  <si>
    <t>Air Compressor 8-ATLASCOPCO-644CFM</t>
  </si>
  <si>
    <t>Atlascopco</t>
  </si>
  <si>
    <t>320000018254</t>
  </si>
  <si>
    <t>120000018203</t>
  </si>
  <si>
    <t>coolant coming from only one nozzle</t>
  </si>
  <si>
    <t>03:17:47</t>
  </si>
  <si>
    <t>Air Compressor-6-ATLASCOPCO-644CFM</t>
  </si>
  <si>
    <t>ATLASCOPCO</t>
  </si>
  <si>
    <t>23:16:02</t>
  </si>
  <si>
    <t>APF202685</t>
  </si>
  <si>
    <t>ZR145-P-13-50</t>
  </si>
  <si>
    <t>23:28:21</t>
  </si>
  <si>
    <t>Air Compressor-7-ATLASCOPCO-644CFM</t>
  </si>
  <si>
    <t>330000052129</t>
  </si>
  <si>
    <t>APF222347</t>
  </si>
  <si>
    <t>320000018256</t>
  </si>
  <si>
    <t>120000018190</t>
  </si>
  <si>
    <t>PALLEAT NOT CHAGE</t>
  </si>
  <si>
    <t>16:15:00</t>
  </si>
  <si>
    <t>Monthly Prev. Maint. For Mazak 2</t>
  </si>
  <si>
    <t>00:57:37</t>
  </si>
  <si>
    <t>16:28:45</t>
  </si>
  <si>
    <t>CLEAN ROOM TECHNOLOGIES</t>
  </si>
  <si>
    <t>CRT-32K125SP50TR</t>
  </si>
  <si>
    <t>16:29:48</t>
  </si>
  <si>
    <t>1114</t>
  </si>
  <si>
    <t>330000051842</t>
  </si>
  <si>
    <t>AHU-CCA6-CRT</t>
  </si>
  <si>
    <t>CRT-32K125SP50TR ; R</t>
  </si>
  <si>
    <t>320000018997</t>
  </si>
  <si>
    <t>120000018201</t>
  </si>
  <si>
    <t>Chiller-4-110TR-Bluestar</t>
  </si>
  <si>
    <t>17:24:53</t>
  </si>
  <si>
    <t>BLUESTAR LIMITED</t>
  </si>
  <si>
    <t>K0100021</t>
  </si>
  <si>
    <t>LCAX1-0375DA</t>
  </si>
  <si>
    <t>22:46:57</t>
  </si>
  <si>
    <t>22:48:16</t>
  </si>
  <si>
    <t>110V DC Battery Charger-SwitchGear Room</t>
  </si>
  <si>
    <t>UNI-ISTA</t>
  </si>
  <si>
    <t>320000018852</t>
  </si>
  <si>
    <t>120000018200</t>
  </si>
  <si>
    <t>110V DC Battery Charger-HTRoom</t>
  </si>
  <si>
    <t>servo malf 2</t>
  </si>
  <si>
    <t>03:01:50</t>
  </si>
  <si>
    <t>20:51:30</t>
  </si>
  <si>
    <t>20:52:07</t>
  </si>
  <si>
    <t>Cooling Tower-2</t>
  </si>
  <si>
    <t>GEM</t>
  </si>
  <si>
    <t>330000052158</t>
  </si>
  <si>
    <t>1752059</t>
  </si>
  <si>
    <t>Sewage Treatment Plant</t>
  </si>
  <si>
    <t>320000018249</t>
  </si>
  <si>
    <t>120000018167</t>
  </si>
  <si>
    <t>07:34:23</t>
  </si>
  <si>
    <t>17:13:17</t>
  </si>
  <si>
    <t>07:36:11</t>
  </si>
  <si>
    <t>Cooling Tower-1</t>
  </si>
  <si>
    <t>330000052120</t>
  </si>
  <si>
    <t>Fire hydrant system</t>
  </si>
  <si>
    <t>320000018855</t>
  </si>
  <si>
    <t>120000018178</t>
  </si>
  <si>
    <t>TOOL CLAMP SENSOR MALFUNCTION</t>
  </si>
  <si>
    <t>13:50:00</t>
  </si>
  <si>
    <t>03:27:59</t>
  </si>
  <si>
    <t>MONTHLY  PREV MAINT FOR 103120000154</t>
  </si>
  <si>
    <t>14:21:08</t>
  </si>
  <si>
    <t>14:22:15</t>
  </si>
  <si>
    <t>Soft water treatment plant</t>
  </si>
  <si>
    <t>330000052077</t>
  </si>
  <si>
    <t>Thermax</t>
  </si>
  <si>
    <t>BAY - 3 HVAC - 1</t>
  </si>
  <si>
    <t>MONTHLY_PM_BAY-3_HVAC - 1</t>
  </si>
  <si>
    <t>330000049603</t>
  </si>
  <si>
    <t>320000018250</t>
  </si>
  <si>
    <t>120000018164</t>
  </si>
  <si>
    <t>01:34:00</t>
  </si>
  <si>
    <t>03:34:50</t>
  </si>
  <si>
    <t>17:17:46</t>
  </si>
  <si>
    <t>03:36:07</t>
  </si>
  <si>
    <t>YEARLY PREV MAINT 10000000139</t>
  </si>
  <si>
    <t>320000018853</t>
  </si>
  <si>
    <t>120000018175</t>
  </si>
  <si>
    <t>03:06:03</t>
  </si>
  <si>
    <t>330000051018</t>
  </si>
  <si>
    <t>09:53:17</t>
  </si>
  <si>
    <t>09:54:16</t>
  </si>
  <si>
    <t>320000018995</t>
  </si>
  <si>
    <t>120000018197</t>
  </si>
  <si>
    <t>hmc 08 pallet not clamped</t>
  </si>
  <si>
    <t>18:20:00</t>
  </si>
  <si>
    <t>17:07:06</t>
  </si>
  <si>
    <t>19:06:35</t>
  </si>
  <si>
    <t>19:08:27</t>
  </si>
  <si>
    <t>330000052193</t>
  </si>
  <si>
    <t>320000018854</t>
  </si>
  <si>
    <t>120000018045</t>
  </si>
  <si>
    <t>air supply not ok</t>
  </si>
  <si>
    <t>03:11:19</t>
  </si>
  <si>
    <t>13:11:51</t>
  </si>
  <si>
    <t>13:12:50</t>
  </si>
  <si>
    <t>330000051676</t>
  </si>
  <si>
    <t>HT Indoor Panel - 1</t>
  </si>
  <si>
    <t>Elins</t>
  </si>
  <si>
    <t>320000018645</t>
  </si>
  <si>
    <t>120000018145</t>
  </si>
  <si>
    <t>vacuum issue on tr2</t>
  </si>
  <si>
    <t>01:46:08</t>
  </si>
  <si>
    <t>22:09:37</t>
  </si>
  <si>
    <t>HT Indoor Panel - 2</t>
  </si>
  <si>
    <t>22:10:13</t>
  </si>
  <si>
    <t>330000051019</t>
  </si>
  <si>
    <t>120000018121</t>
  </si>
  <si>
    <t>X axis create abnormal noise</t>
  </si>
  <si>
    <t>13:04:09</t>
  </si>
  <si>
    <t>Air Compressor-1</t>
  </si>
  <si>
    <t>PNA321508</t>
  </si>
  <si>
    <t>13:10:27</t>
  </si>
  <si>
    <t>ZT30</t>
  </si>
  <si>
    <t>13:06:24</t>
  </si>
  <si>
    <t>Air Compressor-2</t>
  </si>
  <si>
    <t>320000018230</t>
  </si>
  <si>
    <t>120000018153</t>
  </si>
  <si>
    <t>tool change issue .</t>
  </si>
  <si>
    <t>07:19:29</t>
  </si>
  <si>
    <t>03:34:06</t>
  </si>
  <si>
    <t>330000052194</t>
  </si>
  <si>
    <t>Scan Master</t>
  </si>
  <si>
    <t>14005765</t>
  </si>
  <si>
    <t>11526 DS-200</t>
  </si>
  <si>
    <t>07:20:59</t>
  </si>
  <si>
    <t>AIR COMPRESSOR-3</t>
  </si>
  <si>
    <t>ATLAS</t>
  </si>
  <si>
    <t>PNB 970559</t>
  </si>
  <si>
    <t>ZT 90 USD</t>
  </si>
  <si>
    <t>320000018770</t>
  </si>
  <si>
    <t>120000018144</t>
  </si>
  <si>
    <t>Arm not at home position</t>
  </si>
  <si>
    <t>03:14:12</t>
  </si>
  <si>
    <t>21:06:19</t>
  </si>
  <si>
    <t>MS-03-15</t>
  </si>
  <si>
    <t>21:08:02</t>
  </si>
  <si>
    <t>330000052167</t>
  </si>
  <si>
    <t>SST</t>
  </si>
  <si>
    <t>EBOCAM EK36C EG70-15</t>
  </si>
  <si>
    <t>TWTP</t>
  </si>
  <si>
    <t>Peacock  Engineers</t>
  </si>
  <si>
    <t>Monthly Prev. Maint. for MSK-2</t>
  </si>
  <si>
    <t>A303110108</t>
  </si>
  <si>
    <t>MTP008</t>
  </si>
  <si>
    <t>SCHNEIDER</t>
  </si>
  <si>
    <t>9E2203T12679</t>
  </si>
  <si>
    <t>E3SUPS20K3I</t>
  </si>
  <si>
    <t>UPS_80KVA_FUJI_EASYUPS 3S_FALCON 8K5</t>
  </si>
  <si>
    <t>FUJI</t>
  </si>
  <si>
    <t>C1202231283024</t>
  </si>
  <si>
    <t>330000052162</t>
  </si>
  <si>
    <t>FALCON 8K5</t>
  </si>
  <si>
    <t>CUMMINS</t>
  </si>
  <si>
    <t>Monthly Prev. Maint. for Jobs-3</t>
  </si>
  <si>
    <t>SCHNEIDER_ELECTRIC</t>
  </si>
  <si>
    <t>9E2203T12654</t>
  </si>
  <si>
    <t>330000052165</t>
  </si>
  <si>
    <t>9E2247T11543</t>
  </si>
  <si>
    <t>Monthly Prev. Maint. For Huron-1</t>
  </si>
  <si>
    <t>TRANSFORMER 2500KVA</t>
  </si>
  <si>
    <t>JN 53369/0</t>
  </si>
  <si>
    <t>2500 33/0.415 ONAN</t>
  </si>
  <si>
    <t>330000052272</t>
  </si>
  <si>
    <t>EOT CRANE - 1</t>
  </si>
  <si>
    <t>Sparkline</t>
  </si>
  <si>
    <t>DGEOT220050002555</t>
  </si>
  <si>
    <t>DGEOT - 5 TON</t>
  </si>
  <si>
    <t>DGEOT220050002556</t>
  </si>
  <si>
    <t>DGEOT220050002557</t>
  </si>
  <si>
    <t>330000051889</t>
  </si>
  <si>
    <t>AIR COMPRESSOR - 2</t>
  </si>
  <si>
    <t>ATLAS COPCO INDIA LTD</t>
  </si>
  <si>
    <t>PE2211463</t>
  </si>
  <si>
    <t>GA37LVSD+P A-13</t>
  </si>
  <si>
    <t>PREV MAINT PLAN 11000788</t>
  </si>
  <si>
    <t>Cold Storage-8</t>
  </si>
  <si>
    <t>Bluestar</t>
  </si>
  <si>
    <t>ZFI68KQETFD564</t>
  </si>
  <si>
    <t>VOLTAS LIMITED</t>
  </si>
  <si>
    <t>320000018741</t>
  </si>
  <si>
    <t>120000018046</t>
  </si>
  <si>
    <t>pallet is not seated on lacating pin</t>
  </si>
  <si>
    <t>03:54:02</t>
  </si>
  <si>
    <t>330000051530</t>
  </si>
  <si>
    <t>17:56:58</t>
  </si>
  <si>
    <t>17:58:31</t>
  </si>
  <si>
    <t>BI monthly  Robotic PB</t>
  </si>
  <si>
    <t>330000052084</t>
  </si>
  <si>
    <t>320000018994</t>
  </si>
  <si>
    <t>120000018193</t>
  </si>
  <si>
    <t>Router1 dustcollector updown signal mis</t>
  </si>
  <si>
    <t>Monthly Maintenance plan- Robotic PB</t>
  </si>
  <si>
    <t>16:54:07</t>
  </si>
  <si>
    <t>18:32:48</t>
  </si>
  <si>
    <t>18:33:34</t>
  </si>
  <si>
    <t>Cold Storage-9_CCA 7</t>
  </si>
  <si>
    <t>Voltas</t>
  </si>
  <si>
    <t>XLP-0000027</t>
  </si>
  <si>
    <t>330000051987</t>
  </si>
  <si>
    <t>KHZ550LVL-TFD-103</t>
  </si>
  <si>
    <t>BI-MONTHLY PREVENTIVE MAINTENANCE CHECK</t>
  </si>
  <si>
    <t>320000018341</t>
  </si>
  <si>
    <t>120000018155</t>
  </si>
  <si>
    <t>AVURE Rubber Press Tray A not working</t>
  </si>
  <si>
    <t>12:50:00</t>
  </si>
  <si>
    <t>14:30:00</t>
  </si>
  <si>
    <t>24</t>
  </si>
  <si>
    <t>14:30:09</t>
  </si>
  <si>
    <t>20 KVA UPS- EATON</t>
  </si>
  <si>
    <t>EATON</t>
  </si>
  <si>
    <t>330000051658</t>
  </si>
  <si>
    <t>DT421LXX05</t>
  </si>
  <si>
    <t>13:48:35</t>
  </si>
  <si>
    <t>UPS 93E XS</t>
  </si>
  <si>
    <t>20 KVA UPS EATON_PLANT 2</t>
  </si>
  <si>
    <t>DT445LXX10</t>
  </si>
  <si>
    <t>320000018275</t>
  </si>
  <si>
    <t>120000018176</t>
  </si>
  <si>
    <t>QUARTERLY PREV MAINT FOR 103120000214</t>
  </si>
  <si>
    <t>STP</t>
  </si>
  <si>
    <t>Cold Storage-10</t>
  </si>
  <si>
    <t>13:51:54</t>
  </si>
  <si>
    <t>330000052213</t>
  </si>
  <si>
    <t>AHU-CCA8</t>
  </si>
  <si>
    <t>320000018272</t>
  </si>
  <si>
    <t>120000018123</t>
  </si>
  <si>
    <t>Power not coming in new CCC line</t>
  </si>
  <si>
    <t>20:10:03</t>
  </si>
  <si>
    <t>21:10:00</t>
  </si>
  <si>
    <t>AHU-CCA9</t>
  </si>
  <si>
    <t>6KVA UPS-MTC</t>
  </si>
  <si>
    <t>330000051699</t>
  </si>
  <si>
    <t>Schneider Electric</t>
  </si>
  <si>
    <t>9S2348A01349</t>
  </si>
  <si>
    <t>SRV6KUXI-IN</t>
  </si>
  <si>
    <t>320000018273</t>
  </si>
  <si>
    <t>120000018122</t>
  </si>
  <si>
    <t>31micron variation Y-Axis</t>
  </si>
  <si>
    <t>Atlas copco</t>
  </si>
  <si>
    <t>WUX508030</t>
  </si>
  <si>
    <t>ZT132VSD Classic</t>
  </si>
  <si>
    <t>15:50:06</t>
  </si>
  <si>
    <t>S304011812</t>
  </si>
  <si>
    <t>111102001400035</t>
  </si>
  <si>
    <t>WUX508029</t>
  </si>
  <si>
    <t>MS-01-01</t>
  </si>
  <si>
    <t>330000052209</t>
  </si>
  <si>
    <t>320000018274</t>
  </si>
  <si>
    <t>120000018177</t>
  </si>
  <si>
    <t>Transformer-03</t>
  </si>
  <si>
    <t>Hydrolic oil low lable alarm</t>
  </si>
  <si>
    <t>Voltamp</t>
  </si>
  <si>
    <t>55675</t>
  </si>
  <si>
    <t>21:20:34</t>
  </si>
  <si>
    <t>14:21:16</t>
  </si>
  <si>
    <t>Cold Storage-11_4A New Building_2nd FL</t>
  </si>
  <si>
    <t>I-8010096R25C0282,O-PTP0000103</t>
  </si>
  <si>
    <t>IDU-VCRI-BM110-SS-EV</t>
  </si>
  <si>
    <t>330000052211</t>
  </si>
  <si>
    <t>Chiller-5, 105TR</t>
  </si>
  <si>
    <t>Climaveneta Climate Technologi</t>
  </si>
  <si>
    <t>C25FC01635</t>
  </si>
  <si>
    <t>FX/CA/1902</t>
  </si>
  <si>
    <t>Chiller-6, 105TR</t>
  </si>
  <si>
    <t>C25FC01636</t>
  </si>
  <si>
    <t>S304011830</t>
  </si>
  <si>
    <t>320000018195</t>
  </si>
  <si>
    <t>120000018142</t>
  </si>
  <si>
    <t>11110200150086</t>
  </si>
  <si>
    <t>Temp. of a axis cooling system high</t>
  </si>
  <si>
    <t>15:45:20</t>
  </si>
  <si>
    <t>MS-01-12</t>
  </si>
  <si>
    <t>15:38:53</t>
  </si>
  <si>
    <t>Air Compressor-9-ATLASCOPCO</t>
  </si>
  <si>
    <t>22:11:20</t>
  </si>
  <si>
    <t>PNB0025728</t>
  </si>
  <si>
    <t>330000051707</t>
  </si>
  <si>
    <t>320000018245</t>
  </si>
  <si>
    <t>120000018131</t>
  </si>
  <si>
    <t>08:18:10</t>
  </si>
  <si>
    <t>14:00:34</t>
  </si>
  <si>
    <t>08:20:06</t>
  </si>
  <si>
    <t>330000051708</t>
  </si>
  <si>
    <t>320000018246</t>
  </si>
  <si>
    <t>120000018119</t>
  </si>
  <si>
    <t>servo malfunction alarm</t>
  </si>
  <si>
    <t>01:36:14</t>
  </si>
  <si>
    <t>03:55:14</t>
  </si>
  <si>
    <t>14:17:02</t>
  </si>
  <si>
    <t>03:56:45</t>
  </si>
  <si>
    <t>330000052091</t>
  </si>
  <si>
    <t>320000018762</t>
  </si>
  <si>
    <t>120000018118</t>
  </si>
  <si>
    <t>tool falling in running program</t>
  </si>
  <si>
    <t>Monthly Prev. Maint. For Bavius2M-2</t>
  </si>
  <si>
    <t>02:27:18</t>
  </si>
  <si>
    <t>03:51:56</t>
  </si>
  <si>
    <t>03:53:41</t>
  </si>
  <si>
    <t>330000052090</t>
  </si>
  <si>
    <t>320000018228</t>
  </si>
  <si>
    <t>120000018132</t>
  </si>
  <si>
    <t>MONTHLY PREV MAINT FOR 103120000104</t>
  </si>
  <si>
    <t>08:21:34</t>
  </si>
  <si>
    <t>A303081731</t>
  </si>
  <si>
    <t>16:21:02</t>
  </si>
  <si>
    <t>08:23:01</t>
  </si>
  <si>
    <t>WATERJET</t>
  </si>
  <si>
    <t>330000052208</t>
  </si>
  <si>
    <t>320000018764</t>
  </si>
  <si>
    <t>120000018134</t>
  </si>
  <si>
    <t>Trou coolant malfunction</t>
  </si>
  <si>
    <t>ROBOT MONTHLY MAINTENANCE PLAN</t>
  </si>
  <si>
    <t>02:36:49</t>
  </si>
  <si>
    <t>09:35:28</t>
  </si>
  <si>
    <t>09:37:05</t>
  </si>
  <si>
    <t>1162L-S2</t>
  </si>
  <si>
    <t>330000052241</t>
  </si>
  <si>
    <t>320000018999</t>
  </si>
  <si>
    <t>120000018150</t>
  </si>
  <si>
    <t>Pallete coolent leackage issue</t>
  </si>
  <si>
    <t>18:16:21</t>
  </si>
  <si>
    <t>Monthly PM 6 KVA UPS</t>
  </si>
  <si>
    <t>11:04:42</t>
  </si>
  <si>
    <t>11:05:30</t>
  </si>
  <si>
    <t>330000051738</t>
  </si>
  <si>
    <t>320000018765</t>
  </si>
  <si>
    <t>120000018038</t>
  </si>
  <si>
    <t>vacuum not reached on tr3</t>
  </si>
  <si>
    <t>09:45:00</t>
  </si>
  <si>
    <t>02:41:17</t>
  </si>
  <si>
    <t>09:57:03</t>
  </si>
  <si>
    <t>09:47:35</t>
  </si>
  <si>
    <t>Quarterly Preventive Maintenance</t>
  </si>
  <si>
    <t>L301010308</t>
  </si>
  <si>
    <t>PAINTKIT</t>
  </si>
  <si>
    <t>MFG-CO1</t>
  </si>
  <si>
    <t>320000018763</t>
  </si>
  <si>
    <t>330000052227</t>
  </si>
  <si>
    <t>120000018140</t>
  </si>
  <si>
    <t>ATC ISSUE ( Tool falling in conveyor dur</t>
  </si>
  <si>
    <t>05:20:00</t>
  </si>
  <si>
    <t>02:30:58</t>
  </si>
  <si>
    <t>11:03:19</t>
  </si>
  <si>
    <t>330000052233</t>
  </si>
  <si>
    <t>320000018766</t>
  </si>
  <si>
    <t>120000018152</t>
  </si>
  <si>
    <t>tool absence failure alarm coming</t>
  </si>
  <si>
    <t>21:30:00</t>
  </si>
  <si>
    <t>02:46:21</t>
  </si>
  <si>
    <t>19:43:06</t>
  </si>
  <si>
    <t>19:44:50</t>
  </si>
  <si>
    <t>S304011826</t>
  </si>
  <si>
    <t>MS-03-08</t>
  </si>
  <si>
    <t>320000018769</t>
  </si>
  <si>
    <t>120000018161</t>
  </si>
  <si>
    <t>330000051073</t>
  </si>
  <si>
    <t>Router 3 dust collector nut bolt loosen</t>
  </si>
  <si>
    <t>03:05:37</t>
  </si>
  <si>
    <t>21:12:30</t>
  </si>
  <si>
    <t>21:12:53</t>
  </si>
  <si>
    <t>HALF YEARLY PREV MAINT FOR103120000016</t>
  </si>
  <si>
    <t>A303081714</t>
  </si>
  <si>
    <t>AE ENG ABA</t>
  </si>
  <si>
    <t>PRECIPNT</t>
  </si>
  <si>
    <t>330000052257</t>
  </si>
  <si>
    <t>320000018210</t>
  </si>
  <si>
    <t>120000018135</t>
  </si>
  <si>
    <t>23:14:17</t>
  </si>
  <si>
    <t>MONTHLY PM HURON-N01</t>
  </si>
  <si>
    <t>TLG</t>
  </si>
  <si>
    <t>A304110005</t>
  </si>
  <si>
    <t>27</t>
  </si>
  <si>
    <t>TOOL WORK</t>
  </si>
  <si>
    <t>MTP015</t>
  </si>
  <si>
    <t>330000051962</t>
  </si>
  <si>
    <t>320000018212</t>
  </si>
  <si>
    <t>120000018160</t>
  </si>
  <si>
    <t>ATC cover sensor malfunction alarm.</t>
  </si>
  <si>
    <t>17:20:00</t>
  </si>
  <si>
    <t>PREV MAINT PLAN 11000789</t>
  </si>
  <si>
    <t>23:14:05</t>
  </si>
  <si>
    <t>18:46:38</t>
  </si>
  <si>
    <t>330000051946</t>
  </si>
  <si>
    <t>320000018383</t>
  </si>
  <si>
    <t>120000018069</t>
  </si>
  <si>
    <t>AUTOMATIC M/C SHUTDOWN</t>
  </si>
  <si>
    <t>22:39:25</t>
  </si>
  <si>
    <t>04:49:00</t>
  </si>
  <si>
    <t>04:49:11</t>
  </si>
  <si>
    <t>WFL-01</t>
  </si>
  <si>
    <t>330000052236</t>
  </si>
  <si>
    <t>320000018194</t>
  </si>
  <si>
    <t>120000018036</t>
  </si>
  <si>
    <t>autoclave 4 fan motor not working</t>
  </si>
  <si>
    <t>07:00:27</t>
  </si>
  <si>
    <t>11:52:48</t>
  </si>
  <si>
    <t>11:42:27</t>
  </si>
  <si>
    <t>MONTHLY PM CHECK FOR HVAC-4</t>
  </si>
  <si>
    <t>1031-CWC-CR</t>
  </si>
  <si>
    <t>CA-SA</t>
  </si>
  <si>
    <t>330000052238</t>
  </si>
  <si>
    <t>320000018846</t>
  </si>
  <si>
    <t>120000018111</t>
  </si>
  <si>
    <t>PALLET NOT CHANGE</t>
  </si>
  <si>
    <t>01:59:35</t>
  </si>
  <si>
    <t>05:52:46</t>
  </si>
  <si>
    <t>MONTHLY PM CHECK FOR HVAC-8</t>
  </si>
  <si>
    <t>05:53:46</t>
  </si>
  <si>
    <t>330000051733</t>
  </si>
  <si>
    <t>320000018848</t>
  </si>
  <si>
    <t>120000018112</t>
  </si>
  <si>
    <t>ATC STUCK</t>
  </si>
  <si>
    <t>02:14:14</t>
  </si>
  <si>
    <t>09:23:21</t>
  </si>
  <si>
    <t>09:24:40</t>
  </si>
  <si>
    <t>QUARTERLY PREV MAINT</t>
  </si>
  <si>
    <t>L201010046</t>
  </si>
  <si>
    <t>330000052273</t>
  </si>
  <si>
    <t>320000018830</t>
  </si>
  <si>
    <t>120000018114</t>
  </si>
  <si>
    <t>ATC ARM  PIN IS BROKEN</t>
  </si>
  <si>
    <t>18:22:36</t>
  </si>
  <si>
    <t>12:04:36</t>
  </si>
  <si>
    <t>12:06:26</t>
  </si>
  <si>
    <t>320000018831</t>
  </si>
  <si>
    <t>120000018106</t>
  </si>
  <si>
    <t>ATC door not close properly</t>
  </si>
  <si>
    <t>00:20:00</t>
  </si>
  <si>
    <t>18:29:18</t>
  </si>
  <si>
    <t>330000052104</t>
  </si>
  <si>
    <t>00:41:26</t>
  </si>
  <si>
    <t>00:44:08</t>
  </si>
  <si>
    <t>MONTHLY PM CHECK FOR FLAP PEENING MACHIN</t>
  </si>
  <si>
    <t>40</t>
  </si>
  <si>
    <t>OTHER</t>
  </si>
  <si>
    <t>120000018037</t>
  </si>
  <si>
    <t>Error tool clamping</t>
  </si>
  <si>
    <t>15:26:04</t>
  </si>
  <si>
    <t>330000052103</t>
  </si>
  <si>
    <t>15:27:01</t>
  </si>
  <si>
    <t>MONTHLY PM CHECK FOR EOT CRANE-3</t>
  </si>
  <si>
    <t>320000018850</t>
  </si>
  <si>
    <t>120000018107</t>
  </si>
  <si>
    <t>Router 3 Spindle drive fault alarm</t>
  </si>
  <si>
    <t>00:05:00</t>
  </si>
  <si>
    <t>02:32:38</t>
  </si>
  <si>
    <t>00:45:15</t>
  </si>
  <si>
    <t>AFFAJ2-2</t>
  </si>
  <si>
    <t>00:45:47</t>
  </si>
  <si>
    <t>330000052263</t>
  </si>
  <si>
    <t>320000018191</t>
  </si>
  <si>
    <t>120000018110</t>
  </si>
  <si>
    <t>Vacuum pump not working</t>
  </si>
  <si>
    <t>04:45:00</t>
  </si>
  <si>
    <t>L301010319</t>
  </si>
  <si>
    <t>PB-B4</t>
  </si>
  <si>
    <t>MFG-PB</t>
  </si>
  <si>
    <t>05:14:02</t>
  </si>
  <si>
    <t>330000052264</t>
  </si>
  <si>
    <t>320000018197</t>
  </si>
  <si>
    <t>120000018028</t>
  </si>
  <si>
    <t>emergency alarm</t>
  </si>
  <si>
    <t>00:42:17</t>
  </si>
  <si>
    <t>L301010304</t>
  </si>
  <si>
    <t>MASKBOOTH</t>
  </si>
  <si>
    <t>330000051782</t>
  </si>
  <si>
    <t>S304011702</t>
  </si>
  <si>
    <t>320000018329</t>
  </si>
  <si>
    <t>120000018102</t>
  </si>
  <si>
    <t>vacuum drop</t>
  </si>
  <si>
    <t>SP-01-01</t>
  </si>
  <si>
    <t>17:59:00</t>
  </si>
  <si>
    <t>08:30:44</t>
  </si>
  <si>
    <t>330000052410</t>
  </si>
  <si>
    <t>S304011829</t>
  </si>
  <si>
    <t>111102001400019</t>
  </si>
  <si>
    <t>MS-03-10</t>
  </si>
  <si>
    <t>330000052249</t>
  </si>
  <si>
    <t>320000018352</t>
  </si>
  <si>
    <t>120000018026</t>
  </si>
  <si>
    <t>compressed air low</t>
  </si>
  <si>
    <t>04:48:29</t>
  </si>
  <si>
    <t>04:58:29</t>
  </si>
  <si>
    <t>Monthly Prev. Maint. for Mazak-1</t>
  </si>
  <si>
    <t>320000018328</t>
  </si>
  <si>
    <t>120000018113</t>
  </si>
  <si>
    <t>encoder 2 on X1 axis not found Alarm</t>
  </si>
  <si>
    <t>330000051767</t>
  </si>
  <si>
    <t>12:01:19</t>
  </si>
  <si>
    <t>predictive Maint Jobs . 2  11000397</t>
  </si>
  <si>
    <t>120000018096</t>
  </si>
  <si>
    <t>OIL AND COOLANT LEAKAGE</t>
  </si>
  <si>
    <t>330000052248</t>
  </si>
  <si>
    <t>13:15:48</t>
  </si>
  <si>
    <t>13:21:02</t>
  </si>
  <si>
    <t>13:18:12</t>
  </si>
  <si>
    <t>Monthly Prev. Maint. For V900-2</t>
  </si>
  <si>
    <t>330000052196</t>
  </si>
  <si>
    <t>320000018843</t>
  </si>
  <si>
    <t>120000018101</t>
  </si>
  <si>
    <t>SERVO MALFUNCTION</t>
  </si>
  <si>
    <t>01:33:13</t>
  </si>
  <si>
    <t>17:24:16</t>
  </si>
  <si>
    <t>17:25:55</t>
  </si>
  <si>
    <t>S304011925</t>
  </si>
  <si>
    <t>SM-01-06</t>
  </si>
  <si>
    <t>320000018639</t>
  </si>
  <si>
    <t>330000051785</t>
  </si>
  <si>
    <t>120000018087</t>
  </si>
  <si>
    <t>SI Communication Failure.</t>
  </si>
  <si>
    <t>00:09:06</t>
  </si>
  <si>
    <t>01:54:33</t>
  </si>
  <si>
    <t>01:55:36</t>
  </si>
  <si>
    <t>330000052412</t>
  </si>
  <si>
    <t>320000018822</t>
  </si>
  <si>
    <t>120000018090</t>
  </si>
  <si>
    <t>c axis drive fault issue</t>
  </si>
  <si>
    <t>04:59:59</t>
  </si>
  <si>
    <t>10:12:36</t>
  </si>
  <si>
    <t>10:13:21</t>
  </si>
  <si>
    <t>42</t>
  </si>
  <si>
    <t>330000052003</t>
  </si>
  <si>
    <t>320000018821</t>
  </si>
  <si>
    <t>120000018025</t>
  </si>
  <si>
    <t>Axis A &amp; B stop and triggered</t>
  </si>
  <si>
    <t>02:10:00</t>
  </si>
  <si>
    <t>04:51:43</t>
  </si>
  <si>
    <t>02:15:11</t>
  </si>
  <si>
    <t>02:16:30</t>
  </si>
  <si>
    <t>PREV MAINT PLAN 11000790</t>
  </si>
  <si>
    <t>330000052313</t>
  </si>
  <si>
    <t>320000018861</t>
  </si>
  <si>
    <t>120000018044</t>
  </si>
  <si>
    <t>Air supply not ok on tr-1</t>
  </si>
  <si>
    <t>00:26:53</t>
  </si>
  <si>
    <t>15:04:04</t>
  </si>
  <si>
    <t>15:06:03</t>
  </si>
  <si>
    <t>MONTHLY PM CHECK FOR SPRAY BOOTH(BTT)</t>
  </si>
  <si>
    <t>SPRAYBOOTH</t>
  </si>
  <si>
    <t>320000018863</t>
  </si>
  <si>
    <t>120000018043</t>
  </si>
  <si>
    <t>330000052309</t>
  </si>
  <si>
    <t>axis drive fault on tr-3</t>
  </si>
  <si>
    <t>00:41:58</t>
  </si>
  <si>
    <t>08:17:53</t>
  </si>
  <si>
    <t>08:19:09</t>
  </si>
  <si>
    <t>MS-03-07</t>
  </si>
  <si>
    <t>320000018865</t>
  </si>
  <si>
    <t>120000018008</t>
  </si>
  <si>
    <t>sp1 drive fault</t>
  </si>
  <si>
    <t>330000052210</t>
  </si>
  <si>
    <t>330000052310</t>
  </si>
  <si>
    <t>00:56:06</t>
  </si>
  <si>
    <t>22:21:12</t>
  </si>
  <si>
    <t>22:22:26</t>
  </si>
  <si>
    <t>S304011833</t>
  </si>
  <si>
    <t>MS-03-14</t>
  </si>
  <si>
    <t>330000051834</t>
  </si>
  <si>
    <t>330000051801</t>
  </si>
  <si>
    <t>320000018860</t>
  </si>
  <si>
    <t>120000018100</t>
  </si>
  <si>
    <t>RETURRING OIL TEMPERATURE OF SPINDLE OIL</t>
  </si>
  <si>
    <t>06:30:00</t>
  </si>
  <si>
    <t>00:19:02</t>
  </si>
  <si>
    <t>predictive Maint MSK.1 11000384</t>
  </si>
  <si>
    <t>15:43:38</t>
  </si>
  <si>
    <t>15:45:26</t>
  </si>
  <si>
    <t>330000052284</t>
  </si>
  <si>
    <t>Monthly Prev. Maint. For Mazak 1</t>
  </si>
  <si>
    <t>320000018862</t>
  </si>
  <si>
    <t>120000018067</t>
  </si>
  <si>
    <t>A304110210</t>
  </si>
  <si>
    <t>Spindle lubrication oil returning error</t>
  </si>
  <si>
    <t>00:32:37</t>
  </si>
  <si>
    <t>10:40:26</t>
  </si>
  <si>
    <t>10:43:11</t>
  </si>
  <si>
    <t>330000051794</t>
  </si>
  <si>
    <t>QUARTERLY PREV MAINT FOR 103120000134</t>
  </si>
  <si>
    <t>A303081709</t>
  </si>
  <si>
    <t>RETICL2</t>
  </si>
  <si>
    <t>320000018866</t>
  </si>
  <si>
    <t>330000052304</t>
  </si>
  <si>
    <t>120000018066</t>
  </si>
  <si>
    <t>NOZZLE COOLANT START CONDITION ERROR</t>
  </si>
  <si>
    <t>01:00:57</t>
  </si>
  <si>
    <t>02:34:29</t>
  </si>
  <si>
    <t>02:35:38</t>
  </si>
  <si>
    <t>PRD</t>
  </si>
  <si>
    <t>L201010143</t>
  </si>
  <si>
    <t>BAY2-PAINT</t>
  </si>
  <si>
    <t>ASSY-PB</t>
  </si>
  <si>
    <t>330000052276</t>
  </si>
  <si>
    <t>320000018535</t>
  </si>
  <si>
    <t>120000018089</t>
  </si>
  <si>
    <t>Router 1 Axis movement block</t>
  </si>
  <si>
    <t>02:20:00</t>
  </si>
  <si>
    <t>05:03:41</t>
  </si>
  <si>
    <t>02:18:25</t>
  </si>
  <si>
    <t>MONTHLY  PREV MAINT FOR 103120000044</t>
  </si>
  <si>
    <t>02:18:50</t>
  </si>
  <si>
    <t>A303081702</t>
  </si>
  <si>
    <t>330000051792</t>
  </si>
  <si>
    <t>320000018190</t>
  </si>
  <si>
    <t>120000018068</t>
  </si>
  <si>
    <t>Rubber Press machine ray B not working</t>
  </si>
  <si>
    <t>13:20:00</t>
  </si>
  <si>
    <t>02:36:21</t>
  </si>
  <si>
    <t>QUARTERLY PREV MAINT FOR 103120000215</t>
  </si>
  <si>
    <t>11:02:01</t>
  </si>
  <si>
    <t>COM ROOM</t>
  </si>
  <si>
    <t>330000051440</t>
  </si>
  <si>
    <t>320000018225</t>
  </si>
  <si>
    <t>120000018099</t>
  </si>
  <si>
    <t>14:00:20</t>
  </si>
  <si>
    <t>14:45:20</t>
  </si>
  <si>
    <t>23:49:25</t>
  </si>
  <si>
    <t>MONTHLY_CHEMETALL SEALENT MIXING M/C_PM</t>
  </si>
  <si>
    <t>14:26:20</t>
  </si>
  <si>
    <t>MCA-PB-1</t>
  </si>
  <si>
    <t>330000051882</t>
  </si>
  <si>
    <t>320000018224</t>
  </si>
  <si>
    <t>120000018103</t>
  </si>
  <si>
    <t>Coolent not coming</t>
  </si>
  <si>
    <t>15:00:05</t>
  </si>
  <si>
    <t>16:00:05</t>
  </si>
  <si>
    <t>S204010028</t>
  </si>
  <si>
    <t>23:49:15</t>
  </si>
  <si>
    <t>SP-01-04</t>
  </si>
  <si>
    <t>330000052345</t>
  </si>
  <si>
    <t>18:26:05</t>
  </si>
  <si>
    <t>S302011527</t>
  </si>
  <si>
    <t>AE-01-06</t>
  </si>
  <si>
    <t>320000018207</t>
  </si>
  <si>
    <t>120000018027</t>
  </si>
  <si>
    <t>spindle chillar not on alarm came at RDX</t>
  </si>
  <si>
    <t>330000051845</t>
  </si>
  <si>
    <t>23:48:59</t>
  </si>
  <si>
    <t>08:35:00</t>
  </si>
  <si>
    <t>Quaterly Prev. Maint. For MCH-250</t>
  </si>
  <si>
    <t>330000052420</t>
  </si>
  <si>
    <t>320000018208</t>
  </si>
  <si>
    <t>120000018091</t>
  </si>
  <si>
    <t>23:48:47</t>
  </si>
  <si>
    <t>CPC</t>
  </si>
  <si>
    <t>330000052408</t>
  </si>
  <si>
    <t>S300011714</t>
  </si>
  <si>
    <t>320000018351</t>
  </si>
  <si>
    <t>120000018081</t>
  </si>
  <si>
    <t>Abnormal  noise from spindle head</t>
  </si>
  <si>
    <t>WASH-RINSE</t>
  </si>
  <si>
    <t>14:05:31</t>
  </si>
  <si>
    <t>TS-06-02</t>
  </si>
  <si>
    <t>16:45:00</t>
  </si>
  <si>
    <t>14:10:31</t>
  </si>
  <si>
    <t>330000052409</t>
  </si>
  <si>
    <t>14:29:31</t>
  </si>
  <si>
    <t>120000018056</t>
  </si>
  <si>
    <t>AXIS M_Z1 STANDSTILL MONITORING</t>
  </si>
  <si>
    <t>04:02:57</t>
  </si>
  <si>
    <t>04:06:10</t>
  </si>
  <si>
    <t>04:05:25</t>
  </si>
  <si>
    <t>MS-01-11</t>
  </si>
  <si>
    <t>330000052390</t>
  </si>
  <si>
    <t>320000018202</t>
  </si>
  <si>
    <t>120000018075</t>
  </si>
  <si>
    <t>Monthly Prev. Maint. for HMC - H5000 (6)</t>
  </si>
  <si>
    <t>slideway oil malfunction and chiller mal</t>
  </si>
  <si>
    <t>11:50:58</t>
  </si>
  <si>
    <t>18:50:15</t>
  </si>
  <si>
    <t>11:52:25</t>
  </si>
  <si>
    <t>330000052391</t>
  </si>
  <si>
    <t>Monthly Prev. Maint. for MSK-3</t>
  </si>
  <si>
    <t>120000018084</t>
  </si>
  <si>
    <t>330000051890</t>
  </si>
  <si>
    <t>19:41:28</t>
  </si>
  <si>
    <t>19:47:01</t>
  </si>
  <si>
    <t>19:45:22</t>
  </si>
  <si>
    <t>QUARTERLY PREV MAINT FOR 103120000268</t>
  </si>
  <si>
    <t>A303081823</t>
  </si>
  <si>
    <t>CMM ROOM</t>
  </si>
  <si>
    <t>ME UTM</t>
  </si>
  <si>
    <t>330000052465</t>
  </si>
  <si>
    <t>120000018076</t>
  </si>
  <si>
    <t>Atc arm driver alarm atc has jamed</t>
  </si>
  <si>
    <t>12:47:25</t>
  </si>
  <si>
    <t>S302011506</t>
  </si>
  <si>
    <t>12:50:08</t>
  </si>
  <si>
    <t>12:48:22</t>
  </si>
  <si>
    <t>MS-02-06</t>
  </si>
  <si>
    <t>330000052466</t>
  </si>
  <si>
    <t>S304011825</t>
  </si>
  <si>
    <t>MS-02-09</t>
  </si>
  <si>
    <t>330000051230</t>
  </si>
  <si>
    <t>320000018739</t>
  </si>
  <si>
    <t>120000018058</t>
  </si>
  <si>
    <t>THARMAL TRIP</t>
  </si>
  <si>
    <t>00:56:59</t>
  </si>
  <si>
    <t>08:18:23</t>
  </si>
  <si>
    <t>08:20:14</t>
  </si>
  <si>
    <t>330000051911</t>
  </si>
  <si>
    <t>120000018041</t>
  </si>
  <si>
    <t>air pressure supply 1 not ok</t>
  </si>
  <si>
    <t>16:06:21</t>
  </si>
  <si>
    <t>predictive Maint MSK.3 11000386</t>
  </si>
  <si>
    <t>16:09:06</t>
  </si>
  <si>
    <t>16:07:43</t>
  </si>
  <si>
    <t>120000018006</t>
  </si>
  <si>
    <t>air pressure supply not ok on tr2</t>
  </si>
  <si>
    <t>14:48:02</t>
  </si>
  <si>
    <t>14:58:02</t>
  </si>
  <si>
    <t>14:48:01</t>
  </si>
  <si>
    <t>330000052492</t>
  </si>
  <si>
    <t>S302011524</t>
  </si>
  <si>
    <t>320000018819</t>
  </si>
  <si>
    <t>120000018042</t>
  </si>
  <si>
    <t>AE-01-03</t>
  </si>
  <si>
    <t>vacuum not reached on tr2</t>
  </si>
  <si>
    <t>20:45:00</t>
  </si>
  <si>
    <t>330000051281</t>
  </si>
  <si>
    <t>04:31:19</t>
  </si>
  <si>
    <t>21:07:29</t>
  </si>
  <si>
    <t>20:43:23</t>
  </si>
  <si>
    <t>330000051984</t>
  </si>
  <si>
    <t>120000018073</t>
  </si>
  <si>
    <t>router 1 idle shwing alarm dust collecto</t>
  </si>
  <si>
    <t>09:18:03</t>
  </si>
  <si>
    <t>09:21:35</t>
  </si>
  <si>
    <t>09:21:19</t>
  </si>
  <si>
    <t>330000052493</t>
  </si>
  <si>
    <t>120000018082</t>
  </si>
  <si>
    <t>S302011526</t>
  </si>
  <si>
    <t>ROUTER 03 SPINDLE RUNOUT NOT OKEY</t>
  </si>
  <si>
    <t>16:17:39</t>
  </si>
  <si>
    <t>AE-01-05</t>
  </si>
  <si>
    <t>330000051969</t>
  </si>
  <si>
    <t>16:20:35</t>
  </si>
  <si>
    <t>16:19:48</t>
  </si>
  <si>
    <t>predictive Maint HMC 1 11000377</t>
  </si>
  <si>
    <t>320000018188</t>
  </si>
  <si>
    <t>330000051970</t>
  </si>
  <si>
    <t>120000018072</t>
  </si>
  <si>
    <t>Servo error alarm</t>
  </si>
  <si>
    <t>12:40:00</t>
  </si>
  <si>
    <t>predictive Maint MSK.2 11000385</t>
  </si>
  <si>
    <t>23:48:07</t>
  </si>
  <si>
    <t>09:11:38</t>
  </si>
  <si>
    <t>330000052497</t>
  </si>
  <si>
    <t>MONTHLY PM CHECK FOR SPM MACHINE</t>
  </si>
  <si>
    <t>36</t>
  </si>
  <si>
    <t>320000018243</t>
  </si>
  <si>
    <t>737 POS 5</t>
  </si>
  <si>
    <t>120000018059</t>
  </si>
  <si>
    <t>Coolant lekage</t>
  </si>
  <si>
    <t>330000052491</t>
  </si>
  <si>
    <t>23:47:55</t>
  </si>
  <si>
    <t>08:34:29</t>
  </si>
  <si>
    <t>Cleanroom_Monthly PM</t>
  </si>
  <si>
    <t>330000052105</t>
  </si>
  <si>
    <t>320000018269</t>
  </si>
  <si>
    <t>120000018001</t>
  </si>
  <si>
    <t>Axis MX2 hardware fault active encoder</t>
  </si>
  <si>
    <t>11:10:02</t>
  </si>
  <si>
    <t>23:21:21</t>
  </si>
  <si>
    <t>11:21:02</t>
  </si>
  <si>
    <t>OTR</t>
  </si>
  <si>
    <t>330000052106</t>
  </si>
  <si>
    <t>330000052517</t>
  </si>
  <si>
    <t>120000018012</t>
  </si>
  <si>
    <t>end position axis on pallet change posit</t>
  </si>
  <si>
    <t>10:41:33</t>
  </si>
  <si>
    <t>10:50:32</t>
  </si>
  <si>
    <t>L301010310</t>
  </si>
  <si>
    <t>10:43:22</t>
  </si>
  <si>
    <t>MFG-AC</t>
  </si>
  <si>
    <t>330000052368</t>
  </si>
  <si>
    <t>S302011525</t>
  </si>
  <si>
    <t>120000018053</t>
  </si>
  <si>
    <t>AE-01-04</t>
  </si>
  <si>
    <t>AXIS M Z1 STANDSTILL MONITORING</t>
  </si>
  <si>
    <t>17:37:26</t>
  </si>
  <si>
    <t>330000051345</t>
  </si>
  <si>
    <t>21:01:26</t>
  </si>
  <si>
    <t>21:05:28</t>
  </si>
  <si>
    <t>330000052508</t>
  </si>
  <si>
    <t>MONTHLY PREVENTIVE MAINTENACE OREDER</t>
  </si>
  <si>
    <t>320000018262</t>
  </si>
  <si>
    <t>120000018014</t>
  </si>
  <si>
    <t>45</t>
  </si>
  <si>
    <t>03:25:01</t>
  </si>
  <si>
    <t>330000052011</t>
  </si>
  <si>
    <t>08:30:17</t>
  </si>
  <si>
    <t>predictive Maint HMC 2 11000378</t>
  </si>
  <si>
    <t>330000052012</t>
  </si>
  <si>
    <t>320000019091</t>
  </si>
  <si>
    <t>120000018010</t>
  </si>
  <si>
    <t>conveyour thrml trp tool clamp sensor</t>
  </si>
  <si>
    <t>13:35:06</t>
  </si>
  <si>
    <t>predictive Maint HMC 3 11000379</t>
  </si>
  <si>
    <t>10:14:09</t>
  </si>
  <si>
    <t>10:16:11</t>
  </si>
  <si>
    <t>330000052013</t>
  </si>
  <si>
    <t>predictive Maint HMC 4 11000380</t>
  </si>
  <si>
    <t>320000018737</t>
  </si>
  <si>
    <t>120000018054</t>
  </si>
  <si>
    <t>ATC COVER SENSOR OPEN CLOSE MALF</t>
  </si>
  <si>
    <t>11:35:00</t>
  </si>
  <si>
    <t>00:31:37</t>
  </si>
  <si>
    <t>330000052014</t>
  </si>
  <si>
    <t>00:00:04</t>
  </si>
  <si>
    <t>00:01:41</t>
  </si>
  <si>
    <t>predictive Maint Mazak. 1 11000389</t>
  </si>
  <si>
    <t>330000052015</t>
  </si>
  <si>
    <t>320000018736</t>
  </si>
  <si>
    <t>120000018018</t>
  </si>
  <si>
    <t>sideway oil mulfunction</t>
  </si>
  <si>
    <t>00:24:37</t>
  </si>
  <si>
    <t>18:00:34</t>
  </si>
  <si>
    <t>18:03:08</t>
  </si>
  <si>
    <t>predictive Maint Mazak. 2 11000390</t>
  </si>
  <si>
    <t>320000018816</t>
  </si>
  <si>
    <t>120000018003</t>
  </si>
  <si>
    <t>Through Coolant Malf Alarm.</t>
  </si>
  <si>
    <t>330000052010</t>
  </si>
  <si>
    <t>22:50:00</t>
  </si>
  <si>
    <t>03:52:31</t>
  </si>
  <si>
    <t>23:35:35</t>
  </si>
  <si>
    <t>23:37:28</t>
  </si>
  <si>
    <t>preductive mainteance TR120 11000453</t>
  </si>
  <si>
    <t>330000052502</t>
  </si>
  <si>
    <t>320000018201</t>
  </si>
  <si>
    <t>120000017946</t>
  </si>
  <si>
    <t>Pallet changing issue</t>
  </si>
  <si>
    <t>00:50:33</t>
  </si>
  <si>
    <t>Monthly Prev. Maint. For Makino2</t>
  </si>
  <si>
    <t>17:12:22</t>
  </si>
  <si>
    <t>00:51:10</t>
  </si>
  <si>
    <t>330000052219</t>
  </si>
  <si>
    <t>320000018815</t>
  </si>
  <si>
    <t>120000018031</t>
  </si>
  <si>
    <t>all control panel light blinking</t>
  </si>
  <si>
    <t>03:34:14</t>
  </si>
  <si>
    <t>WFL-02</t>
  </si>
  <si>
    <t>16:07:41</t>
  </si>
  <si>
    <t>330000052360</t>
  </si>
  <si>
    <t>16:10:01</t>
  </si>
  <si>
    <t>Bi monthly PM - UPS 20 KVA EATON</t>
  </si>
  <si>
    <t>PEM</t>
  </si>
  <si>
    <t>120000018019</t>
  </si>
  <si>
    <t>filter paper not rotate</t>
  </si>
  <si>
    <t>18:09:10</t>
  </si>
  <si>
    <t>330000051988</t>
  </si>
  <si>
    <t>18:15:21</t>
  </si>
  <si>
    <t>18:12:19</t>
  </si>
  <si>
    <t>120000018060</t>
  </si>
  <si>
    <t>Z Axis move to rapid abnormal sound occu</t>
  </si>
  <si>
    <t>18:48:36</t>
  </si>
  <si>
    <t>330000051989</t>
  </si>
  <si>
    <t>18:51:37</t>
  </si>
  <si>
    <t>18:50:32</t>
  </si>
  <si>
    <t>120000018061</t>
  </si>
  <si>
    <t>MAIN SWITCH OFF OR CPU NOT READY</t>
  </si>
  <si>
    <t>23:20:02</t>
  </si>
  <si>
    <t>CHLR</t>
  </si>
  <si>
    <t>23:22:19</t>
  </si>
  <si>
    <t>23:21:26</t>
  </si>
  <si>
    <t>330000051990</t>
  </si>
  <si>
    <t>320000018814</t>
  </si>
  <si>
    <t>120000018016</t>
  </si>
  <si>
    <t>retuning oil temperature spindle error</t>
  </si>
  <si>
    <t>05.09.2026</t>
  </si>
  <si>
    <t>15:45:00</t>
  </si>
  <si>
    <t>03:10:17</t>
  </si>
  <si>
    <t>15:53:34</t>
  </si>
  <si>
    <t>330000051991</t>
  </si>
  <si>
    <t>03:16:54</t>
  </si>
  <si>
    <t>15:57:58</t>
  </si>
  <si>
    <t>115552001300858</t>
  </si>
  <si>
    <t>330000051992</t>
  </si>
  <si>
    <t>320000018266</t>
  </si>
  <si>
    <t>120000018013</t>
  </si>
  <si>
    <t>Spindle not rotating</t>
  </si>
  <si>
    <t>08:40:03</t>
  </si>
  <si>
    <t>11:13:51</t>
  </si>
  <si>
    <t>330000051993</t>
  </si>
  <si>
    <t>320000018223</t>
  </si>
  <si>
    <t>120000017938</t>
  </si>
  <si>
    <t>SPINDLE BEARING TEMPURATURE ALRAM</t>
  </si>
  <si>
    <t>08:35:03</t>
  </si>
  <si>
    <t>06:06:46</t>
  </si>
  <si>
    <t>330000041627</t>
  </si>
  <si>
    <t>10:22:03</t>
  </si>
  <si>
    <t>AMC FOR 3TEOT CRANE-1</t>
  </si>
  <si>
    <t>330000041631</t>
  </si>
  <si>
    <t>320000018808</t>
  </si>
  <si>
    <t>120000017970</t>
  </si>
  <si>
    <t>tool fall in machine</t>
  </si>
  <si>
    <t>AMC FOR 3TEOT CRANE-2</t>
  </si>
  <si>
    <t>01:55:56</t>
  </si>
  <si>
    <t>04:59:21</t>
  </si>
  <si>
    <t>11:45:21</t>
  </si>
  <si>
    <t>320000018734</t>
  </si>
  <si>
    <t>120000017971</t>
  </si>
  <si>
    <t>00:03:36</t>
  </si>
  <si>
    <t>05:52:48</t>
  </si>
  <si>
    <t>AMC FOR 3TEOT CRANE-3</t>
  </si>
  <si>
    <t>05:54:52</t>
  </si>
  <si>
    <t>330000041635</t>
  </si>
  <si>
    <t>320000018133</t>
  </si>
  <si>
    <t>120000017973</t>
  </si>
  <si>
    <t>tool changing sensor</t>
  </si>
  <si>
    <t>08:54:50</t>
  </si>
  <si>
    <t>330000052108</t>
  </si>
  <si>
    <t>17:58:44</t>
  </si>
  <si>
    <t>08:56:23</t>
  </si>
  <si>
    <t>MONTHLY PM CHECK FOR 6.3T EOT CRANE -1</t>
  </si>
  <si>
    <t>VFPOS1</t>
  </si>
  <si>
    <t>330000052109</t>
  </si>
  <si>
    <t>320000018735</t>
  </si>
  <si>
    <t>120000017981</t>
  </si>
  <si>
    <t>00:09:02</t>
  </si>
  <si>
    <t>17:41:22</t>
  </si>
  <si>
    <t>MONTHLY PM CHECK FOR 6.3T EOT CRANE -2</t>
  </si>
  <si>
    <t>330000052373</t>
  </si>
  <si>
    <t>S204010025</t>
  </si>
  <si>
    <t>MS-02-03</t>
  </si>
  <si>
    <t>330000051359</t>
  </si>
  <si>
    <t>330000052045</t>
  </si>
  <si>
    <t>predictive Maint HMC 6 11000382</t>
  </si>
  <si>
    <t>330000052046</t>
  </si>
  <si>
    <t>predictive Maint HMC 7 11000383</t>
  </si>
  <si>
    <t>330000052047</t>
  </si>
  <si>
    <t>330000052540</t>
  </si>
  <si>
    <t>Monthly Prev. Maint. for MSK-1</t>
  </si>
  <si>
    <t>330000052048</t>
  </si>
  <si>
    <t>predictive Maint HMC 8 (R01) 11000439</t>
  </si>
  <si>
    <t>330000052044</t>
  </si>
  <si>
    <t>preductive mainteance Bavious - 11000449</t>
  </si>
  <si>
    <t>330000052537</t>
  </si>
  <si>
    <t>MONTHLY PREV MAINT FOR 103120000128</t>
  </si>
  <si>
    <t>BLASTSFX</t>
  </si>
  <si>
    <t>17:44:16</t>
  </si>
  <si>
    <t>330000052110</t>
  </si>
  <si>
    <t>MONTHLY PM CHECK FOR ROBOTIC MACHINE</t>
  </si>
  <si>
    <t>B401010010</t>
  </si>
  <si>
    <t>737 POS 2</t>
  </si>
  <si>
    <t>VFPOS2_R</t>
  </si>
  <si>
    <t>330000052534</t>
  </si>
  <si>
    <t>WFL-03</t>
  </si>
  <si>
    <t>330000051994</t>
  </si>
  <si>
    <t>120000017799</t>
  </si>
  <si>
    <t>flatness not ok</t>
  </si>
  <si>
    <t>16:09:14</t>
  </si>
  <si>
    <t>330000052425</t>
  </si>
  <si>
    <t>Monthly Fume Extraction System-2</t>
  </si>
  <si>
    <t>16:20:12</t>
  </si>
  <si>
    <t>16:10:43</t>
  </si>
  <si>
    <t>B201010043</t>
  </si>
  <si>
    <t>330000052172</t>
  </si>
  <si>
    <t>predictive Maint Jobs .3  11000398</t>
  </si>
  <si>
    <t>120000017942</t>
  </si>
  <si>
    <t>ATC Door not working</t>
  </si>
  <si>
    <t>08:36:28</t>
  </si>
  <si>
    <t>330000052168</t>
  </si>
  <si>
    <t>08:38:29</t>
  </si>
  <si>
    <t>08:37:53</t>
  </si>
  <si>
    <t>predictive Maint Makino . 1 11000493</t>
  </si>
  <si>
    <t>330000052169</t>
  </si>
  <si>
    <t>320000018812</t>
  </si>
  <si>
    <t>120000017856</t>
  </si>
  <si>
    <t>RETURNING  OIL  TEMPERATURE OF SPINDLE O</t>
  </si>
  <si>
    <t>predictive Maint Makino . 2 11000494</t>
  </si>
  <si>
    <t>02:52:18</t>
  </si>
  <si>
    <t>17:30:23</t>
  </si>
  <si>
    <t>17:31:20</t>
  </si>
  <si>
    <t>330000054081</t>
  </si>
  <si>
    <t>predictive Maint Mazak - 1  11000501</t>
  </si>
  <si>
    <t>320000018810</t>
  </si>
  <si>
    <t>120000017968</t>
  </si>
  <si>
    <t>330000052099</t>
  </si>
  <si>
    <t>Router 2 dust collector pipe broken</t>
  </si>
  <si>
    <t>02:25:00</t>
  </si>
  <si>
    <t>02:13:29</t>
  </si>
  <si>
    <t>04:00:48</t>
  </si>
  <si>
    <t>04:01:15</t>
  </si>
  <si>
    <t>predictive Maint Mazak . 2 11000502</t>
  </si>
  <si>
    <t>111102001202041</t>
  </si>
  <si>
    <t>120000017980</t>
  </si>
  <si>
    <t>On router 3 we are facing spindle jammed</t>
  </si>
  <si>
    <t>17:34:42</t>
  </si>
  <si>
    <t>17:35:38</t>
  </si>
  <si>
    <t>17:35:15</t>
  </si>
  <si>
    <t>320000017938</t>
  </si>
  <si>
    <t>120000017976</t>
  </si>
  <si>
    <t>Door inter lock issue</t>
  </si>
  <si>
    <t>07:20:28</t>
  </si>
  <si>
    <t>13:59:43</t>
  </si>
  <si>
    <t>120000017953</t>
  </si>
  <si>
    <t>tool changer door is not open</t>
  </si>
  <si>
    <t>02:47:07</t>
  </si>
  <si>
    <t>02:48:57</t>
  </si>
  <si>
    <t>02:48:29</t>
  </si>
  <si>
    <t>320000018807</t>
  </si>
  <si>
    <t>120000017969</t>
  </si>
  <si>
    <t>pallet not clamped in work area</t>
  </si>
  <si>
    <t>01:42:57</t>
  </si>
  <si>
    <t>04:02:04</t>
  </si>
  <si>
    <t>04:56:53</t>
  </si>
  <si>
    <t>320000018805</t>
  </si>
  <si>
    <t>120000017957</t>
  </si>
  <si>
    <t>07:57:00</t>
  </si>
  <si>
    <t>01:30:58</t>
  </si>
  <si>
    <t>08:11:47</t>
  </si>
  <si>
    <t>08:16:22</t>
  </si>
  <si>
    <t>320000018733</t>
  </si>
  <si>
    <t>120000017952</t>
  </si>
  <si>
    <t>23:55:11</t>
  </si>
  <si>
    <t>02:42:24</t>
  </si>
  <si>
    <t>02:44:20</t>
  </si>
  <si>
    <t>320000018806</t>
  </si>
  <si>
    <t>120000017960</t>
  </si>
  <si>
    <t>01:34:50</t>
  </si>
  <si>
    <t>13:28:25</t>
  </si>
  <si>
    <t>09:30:58</t>
  </si>
  <si>
    <t>120000017958</t>
  </si>
  <si>
    <t>OPERATION SWITCH MALFUCTION</t>
  </si>
  <si>
    <t>12:22:47</t>
  </si>
  <si>
    <t>12:26:36</t>
  </si>
  <si>
    <t>12:24:53</t>
  </si>
  <si>
    <t>120000017936</t>
  </si>
  <si>
    <t>A-Axis Time Out Clamping</t>
  </si>
  <si>
    <t>13:29:45</t>
  </si>
  <si>
    <t>13:31:53</t>
  </si>
  <si>
    <t>13:31:07</t>
  </si>
  <si>
    <t>320000018637</t>
  </si>
  <si>
    <t>120000017966</t>
  </si>
  <si>
    <t>air pressure not ok</t>
  </si>
  <si>
    <t>01:02:07</t>
  </si>
  <si>
    <t>23:13:41</t>
  </si>
  <si>
    <t>23:14:29</t>
  </si>
  <si>
    <t>320000019672</t>
  </si>
  <si>
    <t>120000017962</t>
  </si>
  <si>
    <t>Tool clamp absence failure alarm</t>
  </si>
  <si>
    <t>14:52:40</t>
  </si>
  <si>
    <t>11:12:18</t>
  </si>
  <si>
    <t>14:54:47</t>
  </si>
  <si>
    <t>320000018180</t>
  </si>
  <si>
    <t>120000017854</t>
  </si>
  <si>
    <t>Rubber press tray B issue</t>
  </si>
  <si>
    <t>07:45:44</t>
  </si>
  <si>
    <t>23:12:57</t>
  </si>
  <si>
    <t>320000018113</t>
  </si>
  <si>
    <t>120000017963</t>
  </si>
  <si>
    <t>Atc fault</t>
  </si>
  <si>
    <t>13:26:01</t>
  </si>
  <si>
    <t>16:35:17</t>
  </si>
  <si>
    <t>320000017936</t>
  </si>
  <si>
    <t>120000017934</t>
  </si>
  <si>
    <t>Tool holder having play not able to hold</t>
  </si>
  <si>
    <t>10:20:00</t>
  </si>
  <si>
    <t>08:26:27</t>
  </si>
  <si>
    <t>09:48:00</t>
  </si>
  <si>
    <t>120000017954</t>
  </si>
  <si>
    <t>Drive:motor blocked/speed controller</t>
  </si>
  <si>
    <t>10:30:36</t>
  </si>
  <si>
    <t>02:57:36</t>
  </si>
  <si>
    <t>03:04:02</t>
  </si>
  <si>
    <t>120000017927</t>
  </si>
  <si>
    <t>AXIS DRIVE FAULT</t>
  </si>
  <si>
    <t>17:10:57</t>
  </si>
  <si>
    <t>17:12:30</t>
  </si>
  <si>
    <t>17:12:00</t>
  </si>
  <si>
    <t>320000018108</t>
  </si>
  <si>
    <t>120000017778</t>
  </si>
  <si>
    <t>Pallet Changing Issue on b2m1</t>
  </si>
  <si>
    <t>11:03:37</t>
  </si>
  <si>
    <t>09:09:00</t>
  </si>
  <si>
    <t>11:04:48</t>
  </si>
  <si>
    <t>320000018634</t>
  </si>
  <si>
    <t>120000017779</t>
  </si>
  <si>
    <t>ATC door not close.</t>
  </si>
  <si>
    <t>00:29:47</t>
  </si>
  <si>
    <t>14:55:56</t>
  </si>
  <si>
    <t>14:57:14</t>
  </si>
  <si>
    <t>320000018107</t>
  </si>
  <si>
    <t>120000017924</t>
  </si>
  <si>
    <t>Orientation issue</t>
  </si>
  <si>
    <t>08:25:15</t>
  </si>
  <si>
    <t>16:20:00</t>
  </si>
  <si>
    <t>320000018124</t>
  </si>
  <si>
    <t>120000017918</t>
  </si>
  <si>
    <t>Hand wheel  failed alaram</t>
  </si>
  <si>
    <t>13:45:00</t>
  </si>
  <si>
    <t>08:25:08</t>
  </si>
  <si>
    <t>07:23:20</t>
  </si>
  <si>
    <t>320000018144</t>
  </si>
  <si>
    <t>120000017933</t>
  </si>
  <si>
    <t>through coolant pressore down alarm</t>
  </si>
  <si>
    <t>08:25:03</t>
  </si>
  <si>
    <t>07:42:03</t>
  </si>
  <si>
    <t>120000017915</t>
  </si>
  <si>
    <t>CHECK GENERAL TRIGGER</t>
  </si>
  <si>
    <t>08:51:07</t>
  </si>
  <si>
    <t>08:54:29</t>
  </si>
  <si>
    <t>08:53:41</t>
  </si>
  <si>
    <t>320000018532</t>
  </si>
  <si>
    <t>120000017914</t>
  </si>
  <si>
    <t>position of the tool changer axis z1 in</t>
  </si>
  <si>
    <t>01:58:18</t>
  </si>
  <si>
    <t>08:44:25</t>
  </si>
  <si>
    <t>08:48:57</t>
  </si>
  <si>
    <t>320000019665</t>
  </si>
  <si>
    <t>120000017916</t>
  </si>
  <si>
    <t>10:41:21</t>
  </si>
  <si>
    <t>09:02:06</t>
  </si>
  <si>
    <t>09:02:47</t>
  </si>
  <si>
    <t>07:02:47</t>
  </si>
  <si>
    <t>320000019668</t>
  </si>
  <si>
    <t>120000017909</t>
  </si>
  <si>
    <t>vaccum pump not working</t>
  </si>
  <si>
    <t>02:45:39</t>
  </si>
  <si>
    <t>10:49:51</t>
  </si>
  <si>
    <t>02:47:37</t>
  </si>
  <si>
    <t>320000019667</t>
  </si>
  <si>
    <t>120000017776</t>
  </si>
  <si>
    <t>Vaccume Pressure Drop In Running Cycle.</t>
  </si>
  <si>
    <t>11:52:34</t>
  </si>
  <si>
    <t>10:48:30</t>
  </si>
  <si>
    <t>11:54:29</t>
  </si>
  <si>
    <t>320000018514</t>
  </si>
  <si>
    <t>120000017818</t>
  </si>
  <si>
    <t>Pallete changing issue</t>
  </si>
  <si>
    <t>04:00:00</t>
  </si>
  <si>
    <t>03:59:29</t>
  </si>
  <si>
    <t>04:00:05</t>
  </si>
  <si>
    <t>320000018533</t>
  </si>
  <si>
    <t>120000017908</t>
  </si>
  <si>
    <t>router 3 idle due to dust collector not</t>
  </si>
  <si>
    <t>02:11:04</t>
  </si>
  <si>
    <t>02:05:23</t>
  </si>
  <si>
    <t>02:06:55</t>
  </si>
  <si>
    <t>320000018140</t>
  </si>
  <si>
    <t>120000017911</t>
  </si>
  <si>
    <t>Failure of handheld unit</t>
  </si>
  <si>
    <t>04:38:38</t>
  </si>
  <si>
    <t>05:20:20</t>
  </si>
  <si>
    <t>08:24:38</t>
  </si>
  <si>
    <t>320000018143</t>
  </si>
  <si>
    <t>120000017777</t>
  </si>
  <si>
    <t>Ever machine stop due to an unidentified</t>
  </si>
  <si>
    <t>16:12:14</t>
  </si>
  <si>
    <t>17:01:48</t>
  </si>
  <si>
    <t>08:24:27</t>
  </si>
  <si>
    <t>320000018099</t>
  </si>
  <si>
    <t>120000017913</t>
  </si>
  <si>
    <t>servo malfunction-2 &amp; samrt safe opr er</t>
  </si>
  <si>
    <t>07:24:18</t>
  </si>
  <si>
    <t>08:24:16</t>
  </si>
  <si>
    <t>320000018076</t>
  </si>
  <si>
    <t>120000017834</t>
  </si>
  <si>
    <t>Automatic machine shutdown</t>
  </si>
  <si>
    <t>17:15:22</t>
  </si>
  <si>
    <t>17:45:22</t>
  </si>
  <si>
    <t>17:59:22</t>
  </si>
  <si>
    <t>320000018221</t>
  </si>
  <si>
    <t>120000017833</t>
  </si>
  <si>
    <t>machine control panel disply not working</t>
  </si>
  <si>
    <t>17:00:54</t>
  </si>
  <si>
    <t>06:02:42</t>
  </si>
  <si>
    <t>17:52:54</t>
  </si>
  <si>
    <t>120000017901</t>
  </si>
  <si>
    <t>RECOOLING AGGRECATE UNIT NOT OPERATIONAL</t>
  </si>
  <si>
    <t>17:55:37</t>
  </si>
  <si>
    <t>17:58:10</t>
  </si>
  <si>
    <t>17:14:37</t>
  </si>
  <si>
    <t>320000018633</t>
  </si>
  <si>
    <t>120000017903</t>
  </si>
  <si>
    <t>atc stuck due carriage management incons</t>
  </si>
  <si>
    <t>00:14:29</t>
  </si>
  <si>
    <t>19:32:22</t>
  </si>
  <si>
    <t>19:36:56</t>
  </si>
  <si>
    <t>320000018608</t>
  </si>
  <si>
    <t>120000017890</t>
  </si>
  <si>
    <t>ATC CONFIRM SIGNAL ABNORMAL</t>
  </si>
  <si>
    <t>04:24:23</t>
  </si>
  <si>
    <t>05:39:56</t>
  </si>
  <si>
    <t>04:29:16</t>
  </si>
  <si>
    <t>05:40:40</t>
  </si>
  <si>
    <t>320000018609</t>
  </si>
  <si>
    <t>120000017891</t>
  </si>
  <si>
    <t>04:34:08</t>
  </si>
  <si>
    <t>05:43:16</t>
  </si>
  <si>
    <t>04:39:43</t>
  </si>
  <si>
    <t>05:44:00</t>
  </si>
  <si>
    <t>320000019661</t>
  </si>
  <si>
    <t>120000017894</t>
  </si>
  <si>
    <t>SERVO MALFUNCTION 2</t>
  </si>
  <si>
    <t>09:48:27</t>
  </si>
  <si>
    <t>10:27:38</t>
  </si>
  <si>
    <t>10:23:27</t>
  </si>
  <si>
    <t>10:24:20</t>
  </si>
  <si>
    <t>320000019664</t>
  </si>
  <si>
    <t>120000017904</t>
  </si>
  <si>
    <t>spindle lub. chiller malf.</t>
  </si>
  <si>
    <t>20:35:14</t>
  </si>
  <si>
    <t>10:35:31</t>
  </si>
  <si>
    <t>20:36:49</t>
  </si>
  <si>
    <t>320000019663</t>
  </si>
  <si>
    <t>120000017906</t>
  </si>
  <si>
    <t>Servo malfunction</t>
  </si>
  <si>
    <t>15:05:19</t>
  </si>
  <si>
    <t>10:31:36</t>
  </si>
  <si>
    <t>23:19:19</t>
  </si>
  <si>
    <t>23:21:00</t>
  </si>
  <si>
    <t>320000018610</t>
  </si>
  <si>
    <t>120000017772</t>
  </si>
  <si>
    <t>on tr2 continue chiller E5 alarm &amp; G00 f</t>
  </si>
  <si>
    <t>04:53:30</t>
  </si>
  <si>
    <t>04:30:04</t>
  </si>
  <si>
    <t>02:32:12</t>
  </si>
  <si>
    <t>320000019660</t>
  </si>
  <si>
    <t>120000017817</t>
  </si>
  <si>
    <t>Coolant Lekage For Chip Conveyor.</t>
  </si>
  <si>
    <t>07:20:26</t>
  </si>
  <si>
    <t>10:09:42</t>
  </si>
  <si>
    <t>07:21:52</t>
  </si>
  <si>
    <t>120000017900</t>
  </si>
  <si>
    <t>router1 dust collector not working</t>
  </si>
  <si>
    <t>16:11:50</t>
  </si>
  <si>
    <t>16:14:58</t>
  </si>
  <si>
    <t>16:13:43</t>
  </si>
  <si>
    <t>120000017905</t>
  </si>
  <si>
    <t>ROUTER 01 MACHINE  BREAKDOWN DUE TO Y- A</t>
  </si>
  <si>
    <t>22:53:49</t>
  </si>
  <si>
    <t>23:00:51</t>
  </si>
  <si>
    <t>120000017816</t>
  </si>
  <si>
    <t>SSF FURNACE UDER MAINTENACE</t>
  </si>
  <si>
    <t>06:54:46</t>
  </si>
  <si>
    <t>07:00:58</t>
  </si>
  <si>
    <t>320000018632</t>
  </si>
  <si>
    <t>120000017902</t>
  </si>
  <si>
    <t>router 3 dust collector pipe broken</t>
  </si>
  <si>
    <t>00:02:59</t>
  </si>
  <si>
    <t>19:12:45</t>
  </si>
  <si>
    <t>00:06:10</t>
  </si>
  <si>
    <t>19:13:54</t>
  </si>
  <si>
    <t>320000018732</t>
  </si>
  <si>
    <t>120000017893</t>
  </si>
  <si>
    <t>Router 3 dust collectornot working</t>
  </si>
  <si>
    <t>23:33:32</t>
  </si>
  <si>
    <t>09:57:41</t>
  </si>
  <si>
    <t>09:58:09</t>
  </si>
  <si>
    <t>320000018260</t>
  </si>
  <si>
    <t>120000018030</t>
  </si>
  <si>
    <t>Tray-A dum alignment  disturbed</t>
  </si>
  <si>
    <t>08:30:32</t>
  </si>
  <si>
    <t>16:04:28</t>
  </si>
  <si>
    <t>320000018093</t>
  </si>
  <si>
    <t>120000017887</t>
  </si>
  <si>
    <t>Sp2 drive fault</t>
  </si>
  <si>
    <t>08:24:00</t>
  </si>
  <si>
    <t>01:57:55</t>
  </si>
  <si>
    <t>320000018142</t>
  </si>
  <si>
    <t>120000017852</t>
  </si>
  <si>
    <t>high pressure coolant pipe breakage</t>
  </si>
  <si>
    <t>17:25:23</t>
  </si>
  <si>
    <t>18:45:07</t>
  </si>
  <si>
    <t>08:23:47</t>
  </si>
  <si>
    <t>320000018261</t>
  </si>
  <si>
    <t>120000018032</t>
  </si>
  <si>
    <t>Sp1 reference issue</t>
  </si>
  <si>
    <t>08:30:18</t>
  </si>
  <si>
    <t>16:15:19</t>
  </si>
  <si>
    <t>320000018095</t>
  </si>
  <si>
    <t>120000017888</t>
  </si>
  <si>
    <t>Axis sp1 drive</t>
  </si>
  <si>
    <t>08:23:24</t>
  </si>
  <si>
    <t>01:59:02</t>
  </si>
  <si>
    <t>320000019551</t>
  </si>
  <si>
    <t>120000017965</t>
  </si>
  <si>
    <t>28.07.2026</t>
  </si>
  <si>
    <t>18:51:14</t>
  </si>
  <si>
    <t>16:06:13</t>
  </si>
  <si>
    <t>18:53:43</t>
  </si>
  <si>
    <t>320000019476</t>
  </si>
  <si>
    <t>120000018684</t>
  </si>
  <si>
    <t>c-axis leakage</t>
  </si>
  <si>
    <t>09.07.2026</t>
  </si>
  <si>
    <t>13:51:32</t>
  </si>
  <si>
    <t>14:23:51</t>
  </si>
  <si>
    <t>13:52:24</t>
  </si>
  <si>
    <t>320000019553</t>
  </si>
  <si>
    <t>120000017956</t>
  </si>
  <si>
    <t>TELESCOPIC COVER  DAMAGE</t>
  </si>
  <si>
    <t>05:46:53</t>
  </si>
  <si>
    <t>16:15:40</t>
  </si>
  <si>
    <t>05:47:54</t>
  </si>
  <si>
    <t>320000019470</t>
  </si>
  <si>
    <t>120000018291</t>
  </si>
  <si>
    <t>04.07.2026</t>
  </si>
  <si>
    <t>02:39:14</t>
  </si>
  <si>
    <t>14:06:57</t>
  </si>
  <si>
    <t>02:39:46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</si>
</sst>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 theme="1"/>
      <name val="Aptos Narrow"/>
      <scheme val="minor"/>
    </font>
    <font>
      <sz val="11.0"/>
      <color rgb="FF000000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ptos Narrow"/>
      <scheme val="minor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F1A983"/>
        <bgColor rgb="FFF1A983"/>
      </patternFill>
    </fill>
    <fill>
      <patternFill patternType="solid">
        <fgColor rgb="FFD0E0E3"/>
        <bgColor rgb="FFD0E0E3"/>
      </patternFill>
    </fill>
    <fill>
      <patternFill patternType="solid">
        <fgColor rgb="FF84E291"/>
        <bgColor rgb="FF84E291"/>
      </patternFill>
    </fill>
  </fills>
  <borders count="4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vertical="top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5" numFmtId="0" xfId="0" applyAlignment="1" applyFont="1">
      <alignment horizontal="left"/>
    </xf>
    <xf borderId="1" fillId="3" fontId="2" numFmtId="164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shrinkToFit="0" wrapText="1"/>
    </xf>
    <xf borderId="1" fillId="3" fontId="2" numFmtId="2" xfId="0" applyAlignment="1" applyBorder="1" applyFill="1" applyFont="1" applyNumberFormat="1">
      <alignment horizontal="center" vertical="center"/>
    </xf>
    <xf borderId="2" fillId="4" fontId="7" numFmtId="17" xfId="0" applyAlignment="1" applyBorder="1" applyFill="1" applyFont="1" applyNumberFormat="1">
      <alignment horizontal="right" shrinkToFit="0" wrapText="1"/>
    </xf>
    <xf borderId="1" fillId="3" fontId="2" numFmtId="9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5" numFmtId="0" xfId="0" applyFont="1"/>
    <xf borderId="3" fillId="0" fontId="2" numFmtId="0" xfId="0" applyBorder="1" applyFont="1"/>
    <xf borderId="2" fillId="0" fontId="6" numFmtId="0" xfId="0" applyAlignment="1" applyBorder="1" applyFont="1">
      <alignment horizontal="right" shrinkToFit="0" wrapText="1"/>
    </xf>
    <xf borderId="3" fillId="0" fontId="8" numFmtId="0" xfId="0" applyAlignment="1" applyBorder="1" applyFont="1">
      <alignment readingOrder="0"/>
    </xf>
    <xf borderId="1" fillId="3" fontId="2" numFmtId="10" xfId="0" applyAlignment="1" applyBorder="1" applyFill="1" applyFont="1" applyNumberForma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 shrinkToFit="0" wrapText="1"/>
    </xf>
    <xf borderId="0" fillId="0" fontId="9" numFmtId="0" xfId="0" applyAlignment="1" applyFont="1">
      <alignment readingOrder="0"/>
    </xf>
    <xf borderId="1" fillId="5" fontId="2" numFmtId="9" xfId="0" applyAlignment="1" applyBorder="1" applyFill="1" applyFont="1" applyNumberFormat="1">
      <alignment horizontal="center" vertical="center"/>
    </xf>
    <xf borderId="0" fillId="0" fontId="9" numFmtId="0" xfId="0" applyAlignment="1" applyFont="1">
      <alignment readingOrder="0" shrinkToFit="0" wrapText="1"/>
    </xf>
    <xf borderId="3" fillId="0" fontId="2" numFmtId="0" xfId="0" applyAlignment="1" applyBorder="1" applyFont="1">
      <alignment vertical="center"/>
    </xf>
    <xf borderId="1" fillId="3" fontId="2" numFmtId="1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quotePrefix="1"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11.0"/>
    <col customWidth="1" min="3" max="3" width="22.5"/>
    <col customWidth="1" min="4" max="4" width="13.63"/>
    <col customWidth="1" min="5" max="5" width="10.5"/>
    <col customWidth="1" min="6" max="6" width="9.88"/>
    <col customWidth="1" min="7" max="7" width="16.88"/>
    <col customWidth="1" min="8" max="8" width="12.63"/>
    <col customWidth="1" min="9" max="9" width="14.75"/>
    <col customWidth="1" min="10" max="10" width="23.63"/>
    <col customWidth="1" min="11" max="11" width="14.5"/>
    <col customWidth="1" min="12" max="13" width="1.75"/>
    <col customWidth="1" min="14" max="14" width="22.63"/>
    <col customWidth="1" min="15" max="15" width="57.0"/>
    <col customWidth="1" min="16" max="27" width="8.63"/>
  </cols>
  <sheetData>
    <row r="1" ht="14.25" customHeight="1"/>
    <row r="2" ht="14.25" customHeight="1">
      <c r="B2" s="2" t="s">
        <v>1</v>
      </c>
    </row>
    <row r="3" ht="14.25" customHeight="1">
      <c r="B3" s="2" t="s">
        <v>10</v>
      </c>
    </row>
    <row r="4" ht="14.25" customHeight="1">
      <c r="A4" s="3"/>
      <c r="B4" s="4" t="s">
        <v>20</v>
      </c>
      <c r="C4" s="6" t="s">
        <v>32</v>
      </c>
      <c r="D4" s="6" t="s">
        <v>35</v>
      </c>
      <c r="E4" s="6" t="s">
        <v>37</v>
      </c>
      <c r="F4" s="6" t="s">
        <v>39</v>
      </c>
      <c r="G4" s="6" t="s">
        <v>40</v>
      </c>
      <c r="H4" s="7" t="s">
        <v>42</v>
      </c>
      <c r="I4" s="6" t="s">
        <v>45</v>
      </c>
      <c r="J4" s="6" t="s">
        <v>46</v>
      </c>
      <c r="K4" s="6" t="s">
        <v>47</v>
      </c>
      <c r="L4" s="3"/>
      <c r="M4" s="3"/>
      <c r="N4" s="8" t="s">
        <v>48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4.25" customHeight="1">
      <c r="B5" s="9" t="s">
        <v>49</v>
      </c>
      <c r="C5" s="11">
        <f>((744*41)-D5)/(744*41)</f>
        <v>0.9282061369</v>
      </c>
      <c r="D5" s="12">
        <v>2190.0</v>
      </c>
      <c r="E5" s="14">
        <f>((744*41)-D5)/260</f>
        <v>108.9</v>
      </c>
      <c r="F5" s="14">
        <f>D5/260</f>
        <v>8.423076923</v>
      </c>
      <c r="G5" s="16">
        <f>55/64</f>
        <v>0.859375</v>
      </c>
      <c r="H5" s="17">
        <v>41.0</v>
      </c>
      <c r="I5" s="17">
        <v>260.0</v>
      </c>
      <c r="J5" s="18"/>
      <c r="N5" s="19" t="s">
        <v>99</v>
      </c>
      <c r="O5" s="21" t="s">
        <v>104</v>
      </c>
    </row>
    <row r="6" ht="14.25" customHeight="1">
      <c r="B6" s="9" t="s">
        <v>109</v>
      </c>
      <c r="C6" s="22">
        <f>((744*48)-D6)/(744*48)</f>
        <v>0.9977004928</v>
      </c>
      <c r="D6" s="23">
        <v>82.12</v>
      </c>
      <c r="E6" s="14">
        <f>((744*48)-D6)/21</f>
        <v>1696.660952</v>
      </c>
      <c r="F6" s="24">
        <f>D6/21</f>
        <v>3.91047619</v>
      </c>
      <c r="G6" s="16">
        <v>0.0</v>
      </c>
      <c r="H6" s="25">
        <v>48.0</v>
      </c>
      <c r="I6" s="25">
        <v>21.0</v>
      </c>
      <c r="J6" s="26" t="s">
        <v>134</v>
      </c>
      <c r="N6" s="19" t="s">
        <v>136</v>
      </c>
      <c r="O6" s="21" t="s">
        <v>138</v>
      </c>
    </row>
    <row r="7" ht="41.25" customHeight="1">
      <c r="B7" s="9" t="s">
        <v>139</v>
      </c>
      <c r="C7" s="22">
        <f>((744*120)-D7)/(744*120)</f>
        <v>0.999937948</v>
      </c>
      <c r="D7" s="23">
        <v>5.54</v>
      </c>
      <c r="E7" s="14">
        <f>((744*120)-D7)/1</f>
        <v>89274.46</v>
      </c>
      <c r="F7" s="24">
        <f>D7/1</f>
        <v>5.54</v>
      </c>
      <c r="G7" s="27">
        <f>34/34</f>
        <v>1</v>
      </c>
      <c r="H7" s="17">
        <v>120.0</v>
      </c>
      <c r="I7" s="17">
        <v>1.0</v>
      </c>
      <c r="J7" s="26" t="s">
        <v>134</v>
      </c>
      <c r="K7" s="28" t="s">
        <v>166</v>
      </c>
      <c r="N7" s="29" t="s">
        <v>168</v>
      </c>
      <c r="O7" s="29" t="s">
        <v>170</v>
      </c>
    </row>
    <row r="8" ht="14.25" customHeight="1">
      <c r="B8" s="9" t="s">
        <v>171</v>
      </c>
      <c r="C8" s="22">
        <f>((744*77)-D8)/(744*77)</f>
        <v>0.9944105223</v>
      </c>
      <c r="D8" s="23">
        <v>320.21</v>
      </c>
      <c r="E8" s="30">
        <f>((744*77)-D8)/89</f>
        <v>640.0875281</v>
      </c>
      <c r="F8" s="14">
        <f>D8/89</f>
        <v>3.597865169</v>
      </c>
      <c r="G8" s="16">
        <f>114/114</f>
        <v>1</v>
      </c>
      <c r="H8" s="17">
        <v>77.0</v>
      </c>
      <c r="I8" s="17">
        <v>89.0</v>
      </c>
      <c r="J8" s="18"/>
      <c r="N8" s="19" t="s">
        <v>189</v>
      </c>
      <c r="O8" s="19" t="s">
        <v>191</v>
      </c>
    </row>
    <row r="9" ht="14.25" customHeight="1">
      <c r="B9" s="9" t="s">
        <v>194</v>
      </c>
      <c r="C9" s="22">
        <f t="shared" ref="C9:C11" si="1">(418.5-D9)/418.5</f>
        <v>0.9999044205</v>
      </c>
      <c r="D9" s="23">
        <v>0.04</v>
      </c>
      <c r="E9" s="30">
        <f>((418.5*19)-D9)/1</f>
        <v>7951.46</v>
      </c>
      <c r="F9" s="12">
        <f t="shared" ref="F9:F12" si="2">D9/1</f>
        <v>0.04</v>
      </c>
      <c r="G9" s="27">
        <f>19/19</f>
        <v>1</v>
      </c>
      <c r="H9" s="17">
        <v>19.0</v>
      </c>
      <c r="I9" s="17">
        <v>1.0</v>
      </c>
      <c r="J9" s="18"/>
      <c r="N9" s="19" t="s">
        <v>211</v>
      </c>
      <c r="O9" s="19" t="s">
        <v>212</v>
      </c>
    </row>
    <row r="10" ht="14.25" customHeight="1">
      <c r="B10" s="9" t="s">
        <v>214</v>
      </c>
      <c r="C10" s="22">
        <f t="shared" si="1"/>
        <v>1</v>
      </c>
      <c r="D10" s="12">
        <v>0.0</v>
      </c>
      <c r="E10" s="30">
        <f>(((418.5*14)-D10)/1)</f>
        <v>5859</v>
      </c>
      <c r="F10" s="12">
        <f t="shared" si="2"/>
        <v>0</v>
      </c>
      <c r="G10" s="16">
        <f>13/18</f>
        <v>0.7222222222</v>
      </c>
      <c r="H10" s="17">
        <v>14.0</v>
      </c>
      <c r="I10" s="17">
        <v>0.0</v>
      </c>
      <c r="J10" s="18"/>
    </row>
    <row r="11" ht="14.25" customHeight="1">
      <c r="B11" s="9" t="s">
        <v>238</v>
      </c>
      <c r="C11" s="22">
        <f t="shared" si="1"/>
        <v>1</v>
      </c>
      <c r="D11" s="12">
        <v>0.0</v>
      </c>
      <c r="E11" s="30">
        <f>(((418.5*21)-D11)/1)</f>
        <v>8788.5</v>
      </c>
      <c r="F11" s="12">
        <f t="shared" si="2"/>
        <v>0</v>
      </c>
      <c r="G11" s="16">
        <f>19/19</f>
        <v>1</v>
      </c>
      <c r="H11" s="17">
        <v>21.0</v>
      </c>
      <c r="I11" s="17">
        <v>0.0</v>
      </c>
      <c r="J11" s="18"/>
    </row>
    <row r="12" ht="14.25" customHeight="1">
      <c r="B12" s="9" t="s">
        <v>250</v>
      </c>
      <c r="C12" s="16">
        <v>1.0</v>
      </c>
      <c r="D12" s="12">
        <v>0.0</v>
      </c>
      <c r="E12" s="30">
        <f>(((418.5*1)-D12)/1)</f>
        <v>418.5</v>
      </c>
      <c r="F12" s="12">
        <f t="shared" si="2"/>
        <v>0</v>
      </c>
      <c r="G12" s="16">
        <f>1/1</f>
        <v>1</v>
      </c>
      <c r="H12" s="17">
        <v>1.0</v>
      </c>
      <c r="I12" s="17">
        <v>0.0</v>
      </c>
      <c r="J12" s="26" t="s">
        <v>134</v>
      </c>
    </row>
    <row r="13" ht="14.25" customHeight="1">
      <c r="C13" s="31"/>
      <c r="D13" s="31"/>
      <c r="E13" s="31"/>
      <c r="F13" s="31"/>
      <c r="G13" s="31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C2"/>
    <mergeCell ref="B3:C3"/>
  </mergeCells>
  <dataValidations>
    <dataValidation type="list" allowBlank="1" showErrorMessage="1" sqref="J5:J12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3.0"/>
    <col customWidth="1" min="3" max="3" width="21.38"/>
    <col customWidth="1" min="4" max="4" width="13.25"/>
    <col customWidth="1" min="5" max="5" width="13.63"/>
    <col customWidth="1" min="6" max="6" width="45.25"/>
    <col customWidth="1" min="7" max="7" width="46.88"/>
    <col customWidth="1" min="8" max="8" width="11.88"/>
    <col customWidth="1" min="9" max="9" width="10.63"/>
    <col customWidth="1" min="10" max="10" width="10.38"/>
    <col customWidth="1" min="11" max="11" width="10.88"/>
    <col customWidth="1" min="12" max="12" width="12.25"/>
    <col customWidth="1" min="13" max="13" width="10.13"/>
    <col customWidth="1" min="14" max="14" width="8.13"/>
    <col customWidth="1" min="15" max="15" width="6.5"/>
    <col customWidth="1" min="16" max="16" width="7.0"/>
    <col customWidth="1" min="17" max="17" width="11.5"/>
    <col customWidth="1" min="18" max="18" width="8.13"/>
    <col customWidth="1" min="19" max="19" width="11.5"/>
    <col customWidth="1" min="20" max="20" width="11.75"/>
    <col customWidth="1" min="21" max="21" width="2.38"/>
    <col customWidth="1" min="22" max="22" width="2.25"/>
    <col customWidth="1" min="23" max="23" width="6.75"/>
    <col customWidth="1" min="24" max="24" width="12.13"/>
    <col customWidth="1" min="25" max="25" width="11.75"/>
    <col customWidth="1" min="26" max="26" width="11.25"/>
    <col customWidth="1" min="27" max="27" width="12.25"/>
    <col customWidth="1" min="28" max="28" width="7.38"/>
    <col customWidth="1" min="29" max="29" width="18.13"/>
    <col customWidth="1" min="30" max="31" width="255.63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22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5"/>
    </row>
    <row r="2" ht="14.25" customHeight="1">
      <c r="A2" s="1" t="s">
        <v>33</v>
      </c>
      <c r="B2" s="1">
        <v>1.1000389E7</v>
      </c>
      <c r="C2" s="1" t="str">
        <f>VLOOKUP(B2,Equipment!A$1:J$575,9,0)</f>
        <v>E</v>
      </c>
      <c r="D2" s="1" t="s">
        <v>57</v>
      </c>
      <c r="E2" s="1" t="s">
        <v>58</v>
      </c>
      <c r="F2" s="1" t="s">
        <v>60</v>
      </c>
      <c r="G2" s="1" t="s">
        <v>61</v>
      </c>
      <c r="H2" s="1" t="s">
        <v>63</v>
      </c>
      <c r="I2" s="1" t="s">
        <v>63</v>
      </c>
      <c r="J2" s="1" t="s">
        <v>65</v>
      </c>
      <c r="K2" s="1" t="s">
        <v>67</v>
      </c>
      <c r="L2" s="1">
        <v>0.5</v>
      </c>
      <c r="M2" s="1" t="s">
        <v>63</v>
      </c>
      <c r="N2" s="1" t="s">
        <v>65</v>
      </c>
      <c r="O2" s="1" t="s">
        <v>68</v>
      </c>
      <c r="P2" s="1">
        <v>1041.0</v>
      </c>
      <c r="Q2" s="1" t="s">
        <v>63</v>
      </c>
      <c r="R2" s="1" t="s">
        <v>67</v>
      </c>
      <c r="S2" s="1" t="s">
        <v>69</v>
      </c>
      <c r="T2" s="1" t="s">
        <v>70</v>
      </c>
      <c r="U2" s="1" t="s">
        <v>71</v>
      </c>
      <c r="V2" s="1" t="s">
        <v>72</v>
      </c>
      <c r="W2" s="1" t="s">
        <v>31</v>
      </c>
      <c r="X2" s="1" t="s">
        <v>31</v>
      </c>
      <c r="Y2" s="1" t="s">
        <v>73</v>
      </c>
      <c r="Z2" s="1" t="s">
        <v>51</v>
      </c>
      <c r="AA2" s="1" t="s">
        <v>31</v>
      </c>
      <c r="AB2" s="1" t="s">
        <v>31</v>
      </c>
      <c r="AC2" s="1" t="s">
        <v>74</v>
      </c>
      <c r="AD2" s="1" t="s">
        <v>31</v>
      </c>
      <c r="AE2" s="5"/>
    </row>
    <row r="3" ht="14.25" customHeight="1">
      <c r="A3" s="1" t="s">
        <v>33</v>
      </c>
      <c r="B3" s="1">
        <v>1.1000455E7</v>
      </c>
      <c r="C3" s="1" t="str">
        <f>VLOOKUP(B3,Equipment!A$1:J$575,9,0)</f>
        <v>E</v>
      </c>
      <c r="D3" s="1" t="s">
        <v>79</v>
      </c>
      <c r="E3" s="1" t="s">
        <v>80</v>
      </c>
      <c r="F3" s="1" t="s">
        <v>81</v>
      </c>
      <c r="G3" s="1" t="s">
        <v>82</v>
      </c>
      <c r="H3" s="1" t="s">
        <v>63</v>
      </c>
      <c r="I3" s="1" t="s">
        <v>63</v>
      </c>
      <c r="J3" s="1" t="s">
        <v>83</v>
      </c>
      <c r="K3" s="1" t="s">
        <v>84</v>
      </c>
      <c r="L3" s="1">
        <v>0.67</v>
      </c>
      <c r="M3" s="1" t="s">
        <v>63</v>
      </c>
      <c r="N3" s="1" t="s">
        <v>86</v>
      </c>
      <c r="O3" s="1" t="s">
        <v>68</v>
      </c>
      <c r="P3" s="1">
        <v>1041.0</v>
      </c>
      <c r="Q3" s="1" t="s">
        <v>63</v>
      </c>
      <c r="R3" s="1" t="s">
        <v>84</v>
      </c>
      <c r="S3" s="1" t="s">
        <v>90</v>
      </c>
      <c r="T3" s="1" t="s">
        <v>91</v>
      </c>
      <c r="U3" s="1" t="s">
        <v>71</v>
      </c>
      <c r="V3" s="1" t="s">
        <v>72</v>
      </c>
      <c r="W3" s="1" t="s">
        <v>31</v>
      </c>
      <c r="X3" s="1" t="s">
        <v>63</v>
      </c>
      <c r="Y3" s="1" t="s">
        <v>91</v>
      </c>
      <c r="Z3" s="1" t="s">
        <v>51</v>
      </c>
      <c r="AA3" s="1" t="s">
        <v>31</v>
      </c>
      <c r="AB3" s="1" t="s">
        <v>31</v>
      </c>
      <c r="AC3" s="1" t="s">
        <v>74</v>
      </c>
      <c r="AD3" s="1" t="s">
        <v>31</v>
      </c>
      <c r="AE3" s="5"/>
    </row>
    <row r="4" ht="14.25" customHeight="1">
      <c r="A4" s="1" t="s">
        <v>33</v>
      </c>
      <c r="B4" s="1">
        <v>1.1000482E7</v>
      </c>
      <c r="C4" s="1" t="str">
        <f>VLOOKUP(B4,Equipment!A$1:J$575,9,0)</f>
        <v>E</v>
      </c>
      <c r="D4" s="1" t="s">
        <v>97</v>
      </c>
      <c r="E4" s="1" t="s">
        <v>98</v>
      </c>
      <c r="F4" s="1" t="s">
        <v>100</v>
      </c>
      <c r="G4" s="1" t="s">
        <v>101</v>
      </c>
      <c r="H4" s="1" t="s">
        <v>63</v>
      </c>
      <c r="I4" s="1" t="s">
        <v>63</v>
      </c>
      <c r="J4" s="1" t="s">
        <v>102</v>
      </c>
      <c r="K4" s="1" t="s">
        <v>103</v>
      </c>
      <c r="L4" s="1">
        <v>0.9</v>
      </c>
      <c r="M4" s="1" t="s">
        <v>63</v>
      </c>
      <c r="N4" s="1" t="s">
        <v>102</v>
      </c>
      <c r="O4" s="1" t="s">
        <v>68</v>
      </c>
      <c r="P4" s="1">
        <v>1041.0</v>
      </c>
      <c r="Q4" s="1" t="s">
        <v>63</v>
      </c>
      <c r="R4" s="1" t="s">
        <v>103</v>
      </c>
      <c r="S4" s="1" t="s">
        <v>90</v>
      </c>
      <c r="T4" s="1" t="s">
        <v>106</v>
      </c>
      <c r="U4" s="1" t="s">
        <v>71</v>
      </c>
      <c r="V4" s="1" t="s">
        <v>72</v>
      </c>
      <c r="W4" s="1" t="s">
        <v>31</v>
      </c>
      <c r="X4" s="1" t="s">
        <v>31</v>
      </c>
      <c r="Y4" s="1" t="s">
        <v>73</v>
      </c>
      <c r="Z4" s="1" t="s">
        <v>51</v>
      </c>
      <c r="AA4" s="1" t="s">
        <v>31</v>
      </c>
      <c r="AB4" s="1" t="s">
        <v>31</v>
      </c>
      <c r="AC4" s="1" t="s">
        <v>74</v>
      </c>
      <c r="AD4" s="1" t="s">
        <v>31</v>
      </c>
      <c r="AE4" s="5"/>
    </row>
    <row r="5" ht="14.25" customHeight="1">
      <c r="A5" s="1" t="s">
        <v>33</v>
      </c>
      <c r="B5" s="1">
        <v>1.1000206E7</v>
      </c>
      <c r="C5" s="1" t="str">
        <f>VLOOKUP(B5,Equipment!A$1:J$575,9,0)</f>
        <v>E</v>
      </c>
      <c r="D5" s="1" t="s">
        <v>112</v>
      </c>
      <c r="E5" s="1" t="s">
        <v>114</v>
      </c>
      <c r="F5" s="1" t="s">
        <v>115</v>
      </c>
      <c r="G5" s="1" t="s">
        <v>116</v>
      </c>
      <c r="H5" s="1" t="s">
        <v>63</v>
      </c>
      <c r="I5" s="1" t="s">
        <v>63</v>
      </c>
      <c r="J5" s="1" t="s">
        <v>119</v>
      </c>
      <c r="K5" s="1" t="s">
        <v>120</v>
      </c>
      <c r="L5" s="1">
        <v>1.0</v>
      </c>
      <c r="M5" s="1" t="s">
        <v>63</v>
      </c>
      <c r="N5" s="1" t="s">
        <v>119</v>
      </c>
      <c r="O5" s="1" t="s">
        <v>121</v>
      </c>
      <c r="P5" s="1">
        <v>2001.0</v>
      </c>
      <c r="Q5" s="1" t="s">
        <v>63</v>
      </c>
      <c r="R5" s="1" t="s">
        <v>120</v>
      </c>
      <c r="S5" s="1" t="s">
        <v>63</v>
      </c>
      <c r="T5" s="1" t="s">
        <v>120</v>
      </c>
      <c r="U5" s="1" t="s">
        <v>71</v>
      </c>
      <c r="V5" s="1" t="s">
        <v>72</v>
      </c>
      <c r="W5" s="1" t="s">
        <v>31</v>
      </c>
      <c r="X5" s="1" t="s">
        <v>63</v>
      </c>
      <c r="Y5" s="1" t="s">
        <v>119</v>
      </c>
      <c r="Z5" s="1" t="s">
        <v>51</v>
      </c>
      <c r="AA5" s="1" t="s">
        <v>31</v>
      </c>
      <c r="AB5" s="1" t="s">
        <v>31</v>
      </c>
      <c r="AC5" s="1" t="s">
        <v>122</v>
      </c>
      <c r="AD5" s="1" t="s">
        <v>31</v>
      </c>
      <c r="AE5" s="5"/>
    </row>
    <row r="6" ht="14.25" customHeight="1">
      <c r="A6" s="1" t="s">
        <v>33</v>
      </c>
      <c r="B6" s="1">
        <v>1.1000322E7</v>
      </c>
      <c r="C6" s="1" t="str">
        <f>VLOOKUP(B6,Equipment!A$1:J$575,9,0)</f>
        <v>E</v>
      </c>
      <c r="D6" s="1" t="s">
        <v>125</v>
      </c>
      <c r="E6" s="1" t="s">
        <v>126</v>
      </c>
      <c r="F6" s="1" t="s">
        <v>127</v>
      </c>
      <c r="G6" s="1" t="s">
        <v>128</v>
      </c>
      <c r="H6" s="1" t="s">
        <v>63</v>
      </c>
      <c r="I6" s="1" t="s">
        <v>63</v>
      </c>
      <c r="J6" s="1" t="s">
        <v>129</v>
      </c>
      <c r="K6" s="1" t="s">
        <v>130</v>
      </c>
      <c r="L6" s="1">
        <v>0.82</v>
      </c>
      <c r="M6" s="1" t="s">
        <v>63</v>
      </c>
      <c r="N6" s="1" t="s">
        <v>129</v>
      </c>
      <c r="O6" s="1" t="s">
        <v>131</v>
      </c>
      <c r="P6" s="1">
        <v>2001.0</v>
      </c>
      <c r="Q6" s="1" t="s">
        <v>63</v>
      </c>
      <c r="R6" s="1" t="s">
        <v>130</v>
      </c>
      <c r="S6" s="1" t="s">
        <v>63</v>
      </c>
      <c r="T6" s="1" t="s">
        <v>132</v>
      </c>
      <c r="U6" s="1" t="s">
        <v>71</v>
      </c>
      <c r="V6" s="1" t="s">
        <v>72</v>
      </c>
      <c r="W6" s="1" t="s">
        <v>31</v>
      </c>
      <c r="X6" s="1" t="s">
        <v>63</v>
      </c>
      <c r="Y6" s="1" t="s">
        <v>129</v>
      </c>
      <c r="Z6" s="1" t="s">
        <v>51</v>
      </c>
      <c r="AA6" s="1" t="s">
        <v>31</v>
      </c>
      <c r="AB6" s="1" t="s">
        <v>31</v>
      </c>
      <c r="AC6" s="1" t="s">
        <v>137</v>
      </c>
      <c r="AD6" s="1" t="s">
        <v>31</v>
      </c>
      <c r="AE6" s="5"/>
    </row>
    <row r="7" ht="14.25" customHeight="1">
      <c r="A7" s="1" t="s">
        <v>33</v>
      </c>
      <c r="B7" s="1">
        <v>1.1000322E7</v>
      </c>
      <c r="C7" s="1" t="str">
        <f>VLOOKUP(B7,Equipment!A$1:J$575,9,0)</f>
        <v>E</v>
      </c>
      <c r="D7" s="1" t="s">
        <v>141</v>
      </c>
      <c r="E7" s="1" t="s">
        <v>143</v>
      </c>
      <c r="F7" s="1" t="s">
        <v>127</v>
      </c>
      <c r="G7" s="1" t="s">
        <v>144</v>
      </c>
      <c r="H7" s="1" t="s">
        <v>63</v>
      </c>
      <c r="I7" s="1" t="s">
        <v>63</v>
      </c>
      <c r="J7" s="1" t="s">
        <v>147</v>
      </c>
      <c r="K7" s="1" t="s">
        <v>148</v>
      </c>
      <c r="L7" s="1">
        <v>0.67</v>
      </c>
      <c r="M7" s="1" t="s">
        <v>63</v>
      </c>
      <c r="N7" s="1" t="s">
        <v>147</v>
      </c>
      <c r="O7" s="1" t="s">
        <v>131</v>
      </c>
      <c r="P7" s="1">
        <v>2001.0</v>
      </c>
      <c r="Q7" s="1" t="s">
        <v>63</v>
      </c>
      <c r="R7" s="1" t="s">
        <v>148</v>
      </c>
      <c r="S7" s="1" t="s">
        <v>31</v>
      </c>
      <c r="T7" s="1" t="s">
        <v>73</v>
      </c>
      <c r="U7" s="1" t="s">
        <v>71</v>
      </c>
      <c r="V7" s="1" t="s">
        <v>72</v>
      </c>
      <c r="W7" s="1" t="s">
        <v>31</v>
      </c>
      <c r="X7" s="1" t="s">
        <v>63</v>
      </c>
      <c r="Y7" s="1" t="s">
        <v>151</v>
      </c>
      <c r="Z7" s="1" t="s">
        <v>51</v>
      </c>
      <c r="AA7" s="1" t="s">
        <v>31</v>
      </c>
      <c r="AB7" s="1" t="s">
        <v>31</v>
      </c>
      <c r="AC7" s="1" t="s">
        <v>137</v>
      </c>
      <c r="AD7" s="1" t="s">
        <v>31</v>
      </c>
      <c r="AE7" s="5"/>
    </row>
    <row r="8" ht="14.25" customHeight="1">
      <c r="A8" s="1" t="s">
        <v>33</v>
      </c>
      <c r="B8" s="1">
        <v>1.1000449E7</v>
      </c>
      <c r="C8" s="1" t="str">
        <f>VLOOKUP(B8,Equipment!A$1:J$575,9,0)</f>
        <v>E</v>
      </c>
      <c r="D8" s="1" t="s">
        <v>158</v>
      </c>
      <c r="E8" s="1" t="s">
        <v>159</v>
      </c>
      <c r="F8" s="1" t="s">
        <v>160</v>
      </c>
      <c r="G8" s="1" t="s">
        <v>161</v>
      </c>
      <c r="H8" s="1" t="s">
        <v>162</v>
      </c>
      <c r="I8" s="1" t="s">
        <v>162</v>
      </c>
      <c r="J8" s="1" t="s">
        <v>163</v>
      </c>
      <c r="K8" s="1" t="s">
        <v>164</v>
      </c>
      <c r="L8" s="1">
        <v>1.08</v>
      </c>
      <c r="M8" s="1" t="s">
        <v>162</v>
      </c>
      <c r="N8" s="1" t="s">
        <v>163</v>
      </c>
      <c r="O8" s="1" t="s">
        <v>68</v>
      </c>
      <c r="P8" s="1">
        <v>1041.0</v>
      </c>
      <c r="Q8" s="1" t="s">
        <v>162</v>
      </c>
      <c r="R8" s="1" t="s">
        <v>164</v>
      </c>
      <c r="S8" s="1" t="s">
        <v>63</v>
      </c>
      <c r="T8" s="1" t="s">
        <v>167</v>
      </c>
      <c r="U8" s="1" t="s">
        <v>71</v>
      </c>
      <c r="V8" s="1" t="s">
        <v>72</v>
      </c>
      <c r="W8" s="1" t="s">
        <v>31</v>
      </c>
      <c r="X8" s="1" t="s">
        <v>31</v>
      </c>
      <c r="Y8" s="1" t="s">
        <v>73</v>
      </c>
      <c r="Z8" s="1" t="s">
        <v>51</v>
      </c>
      <c r="AA8" s="1" t="s">
        <v>31</v>
      </c>
      <c r="AB8" s="1" t="s">
        <v>31</v>
      </c>
      <c r="AC8" s="1" t="s">
        <v>74</v>
      </c>
      <c r="AD8" s="1" t="s">
        <v>31</v>
      </c>
      <c r="AE8" s="5"/>
    </row>
    <row r="9" ht="14.25" customHeight="1">
      <c r="A9" s="1" t="s">
        <v>33</v>
      </c>
      <c r="B9" s="1">
        <v>1.1000452E7</v>
      </c>
      <c r="C9" s="1" t="str">
        <f>VLOOKUP(B9,Equipment!A$1:J$575,9,0)</f>
        <v>E</v>
      </c>
      <c r="D9" s="1" t="s">
        <v>177</v>
      </c>
      <c r="E9" s="1" t="s">
        <v>179</v>
      </c>
      <c r="F9" s="1" t="s">
        <v>180</v>
      </c>
      <c r="G9" s="1" t="s">
        <v>182</v>
      </c>
      <c r="H9" s="1" t="s">
        <v>162</v>
      </c>
      <c r="I9" s="1" t="s">
        <v>63</v>
      </c>
      <c r="J9" s="1" t="s">
        <v>184</v>
      </c>
      <c r="K9" s="1" t="s">
        <v>185</v>
      </c>
      <c r="L9" s="1">
        <v>2.42</v>
      </c>
      <c r="M9" s="1" t="s">
        <v>162</v>
      </c>
      <c r="N9" s="1" t="s">
        <v>184</v>
      </c>
      <c r="O9" s="1" t="s">
        <v>68</v>
      </c>
      <c r="P9" s="1">
        <v>1041.0</v>
      </c>
      <c r="Q9" s="1" t="s">
        <v>63</v>
      </c>
      <c r="R9" s="1" t="s">
        <v>185</v>
      </c>
      <c r="S9" s="1" t="s">
        <v>63</v>
      </c>
      <c r="T9" s="1" t="s">
        <v>186</v>
      </c>
      <c r="U9" s="1" t="s">
        <v>71</v>
      </c>
      <c r="V9" s="1" t="s">
        <v>72</v>
      </c>
      <c r="W9" s="1" t="s">
        <v>31</v>
      </c>
      <c r="X9" s="1" t="s">
        <v>31</v>
      </c>
      <c r="Y9" s="1" t="s">
        <v>73</v>
      </c>
      <c r="Z9" s="1" t="s">
        <v>51</v>
      </c>
      <c r="AA9" s="1" t="s">
        <v>31</v>
      </c>
      <c r="AB9" s="1" t="s">
        <v>31</v>
      </c>
      <c r="AC9" s="1" t="s">
        <v>74</v>
      </c>
      <c r="AD9" s="1" t="s">
        <v>31</v>
      </c>
      <c r="AE9" s="5"/>
    </row>
    <row r="10" ht="14.25" customHeight="1">
      <c r="A10" s="1" t="s">
        <v>33</v>
      </c>
      <c r="B10" s="1">
        <v>1.1000455E7</v>
      </c>
      <c r="C10" s="1" t="str">
        <f>VLOOKUP(B10,Equipment!A$1:J$575,9,0)</f>
        <v>E</v>
      </c>
      <c r="D10" s="1" t="s">
        <v>192</v>
      </c>
      <c r="E10" s="1" t="s">
        <v>195</v>
      </c>
      <c r="F10" s="1" t="s">
        <v>81</v>
      </c>
      <c r="G10" s="1" t="s">
        <v>196</v>
      </c>
      <c r="H10" s="1" t="s">
        <v>162</v>
      </c>
      <c r="I10" s="1" t="s">
        <v>162</v>
      </c>
      <c r="J10" s="1" t="s">
        <v>197</v>
      </c>
      <c r="K10" s="1" t="s">
        <v>198</v>
      </c>
      <c r="L10" s="1">
        <v>0.5</v>
      </c>
      <c r="M10" s="1" t="s">
        <v>162</v>
      </c>
      <c r="N10" s="1" t="s">
        <v>197</v>
      </c>
      <c r="O10" s="1" t="s">
        <v>68</v>
      </c>
      <c r="P10" s="1">
        <v>1041.0</v>
      </c>
      <c r="Q10" s="1" t="s">
        <v>162</v>
      </c>
      <c r="R10" s="1" t="s">
        <v>198</v>
      </c>
      <c r="S10" s="1" t="s">
        <v>63</v>
      </c>
      <c r="T10" s="1" t="s">
        <v>199</v>
      </c>
      <c r="U10" s="1" t="s">
        <v>71</v>
      </c>
      <c r="V10" s="1" t="s">
        <v>72</v>
      </c>
      <c r="W10" s="1" t="s">
        <v>31</v>
      </c>
      <c r="X10" s="1" t="s">
        <v>31</v>
      </c>
      <c r="Y10" s="1" t="s">
        <v>73</v>
      </c>
      <c r="Z10" s="1" t="s">
        <v>51</v>
      </c>
      <c r="AA10" s="1" t="s">
        <v>31</v>
      </c>
      <c r="AB10" s="1" t="s">
        <v>31</v>
      </c>
      <c r="AC10" s="1" t="s">
        <v>74</v>
      </c>
      <c r="AD10" s="1" t="s">
        <v>31</v>
      </c>
      <c r="AE10" s="5"/>
    </row>
    <row r="11" ht="14.25" customHeight="1">
      <c r="A11" s="1" t="s">
        <v>33</v>
      </c>
      <c r="B11" s="1">
        <v>1.1000493E7</v>
      </c>
      <c r="C11" s="1" t="str">
        <f>VLOOKUP(B11,Equipment!A$1:J$575,9,0)</f>
        <v>E</v>
      </c>
      <c r="D11" s="1" t="s">
        <v>204</v>
      </c>
      <c r="E11" s="1" t="s">
        <v>205</v>
      </c>
      <c r="F11" s="1" t="s">
        <v>206</v>
      </c>
      <c r="G11" s="1" t="s">
        <v>207</v>
      </c>
      <c r="H11" s="1" t="s">
        <v>162</v>
      </c>
      <c r="I11" s="1" t="s">
        <v>162</v>
      </c>
      <c r="J11" s="1" t="s">
        <v>208</v>
      </c>
      <c r="K11" s="1" t="s">
        <v>209</v>
      </c>
      <c r="L11" s="1">
        <v>0.5</v>
      </c>
      <c r="M11" s="1" t="s">
        <v>162</v>
      </c>
      <c r="N11" s="1" t="s">
        <v>208</v>
      </c>
      <c r="O11" s="1" t="s">
        <v>68</v>
      </c>
      <c r="P11" s="1">
        <v>1041.0</v>
      </c>
      <c r="Q11" s="1" t="s">
        <v>162</v>
      </c>
      <c r="R11" s="1" t="s">
        <v>209</v>
      </c>
      <c r="S11" s="1" t="s">
        <v>63</v>
      </c>
      <c r="T11" s="1" t="s">
        <v>210</v>
      </c>
      <c r="U11" s="1" t="s">
        <v>71</v>
      </c>
      <c r="V11" s="1" t="s">
        <v>72</v>
      </c>
      <c r="W11" s="1" t="s">
        <v>31</v>
      </c>
      <c r="X11" s="1" t="s">
        <v>31</v>
      </c>
      <c r="Y11" s="1" t="s">
        <v>73</v>
      </c>
      <c r="Z11" s="1" t="s">
        <v>51</v>
      </c>
      <c r="AA11" s="1" t="s">
        <v>31</v>
      </c>
      <c r="AB11" s="1" t="s">
        <v>31</v>
      </c>
      <c r="AC11" s="1" t="s">
        <v>74</v>
      </c>
      <c r="AD11" s="1" t="s">
        <v>31</v>
      </c>
      <c r="AE11" s="5"/>
    </row>
    <row r="12" ht="14.25" customHeight="1">
      <c r="A12" s="1" t="s">
        <v>33</v>
      </c>
      <c r="B12" s="1">
        <v>1.1000551E7</v>
      </c>
      <c r="C12" s="1" t="str">
        <f>VLOOKUP(B12,Equipment!A$1:J$575,9,0)</f>
        <v>E</v>
      </c>
      <c r="D12" s="1" t="s">
        <v>215</v>
      </c>
      <c r="E12" s="1" t="s">
        <v>216</v>
      </c>
      <c r="F12" s="1" t="s">
        <v>217</v>
      </c>
      <c r="G12" s="1" t="s">
        <v>218</v>
      </c>
      <c r="H12" s="1" t="s">
        <v>219</v>
      </c>
      <c r="I12" s="1" t="s">
        <v>219</v>
      </c>
      <c r="J12" s="1" t="s">
        <v>220</v>
      </c>
      <c r="K12" s="1" t="s">
        <v>221</v>
      </c>
      <c r="L12" s="1">
        <v>5.0</v>
      </c>
      <c r="M12" s="1" t="s">
        <v>219</v>
      </c>
      <c r="N12" s="1" t="s">
        <v>222</v>
      </c>
      <c r="O12" s="1" t="s">
        <v>223</v>
      </c>
      <c r="P12" s="1">
        <v>1031.0</v>
      </c>
      <c r="Q12" s="1" t="s">
        <v>219</v>
      </c>
      <c r="R12" s="1" t="s">
        <v>221</v>
      </c>
      <c r="S12" s="1" t="s">
        <v>31</v>
      </c>
      <c r="T12" s="1" t="s">
        <v>73</v>
      </c>
      <c r="U12" s="1" t="s">
        <v>71</v>
      </c>
      <c r="V12" s="1" t="s">
        <v>72</v>
      </c>
      <c r="W12" s="1" t="s">
        <v>31</v>
      </c>
      <c r="X12" s="1" t="s">
        <v>219</v>
      </c>
      <c r="Y12" s="1" t="s">
        <v>222</v>
      </c>
      <c r="Z12" s="1" t="s">
        <v>51</v>
      </c>
      <c r="AA12" s="1" t="s">
        <v>31</v>
      </c>
      <c r="AB12" s="1" t="s">
        <v>31</v>
      </c>
      <c r="AC12" s="1" t="s">
        <v>227</v>
      </c>
      <c r="AD12" s="1" t="s">
        <v>31</v>
      </c>
      <c r="AE12" s="5"/>
    </row>
    <row r="13" ht="14.25" customHeight="1">
      <c r="A13" s="1" t="s">
        <v>33</v>
      </c>
      <c r="B13" s="1">
        <v>1.1000578E7</v>
      </c>
      <c r="C13" s="1" t="str">
        <f>VLOOKUP(B13,Equipment!A$1:J$575,9,0)</f>
        <v>E</v>
      </c>
      <c r="D13" s="1" t="s">
        <v>234</v>
      </c>
      <c r="E13" s="1" t="s">
        <v>236</v>
      </c>
      <c r="F13" s="1" t="s">
        <v>237</v>
      </c>
      <c r="G13" s="1" t="s">
        <v>240</v>
      </c>
      <c r="H13" s="1" t="s">
        <v>219</v>
      </c>
      <c r="I13" s="1" t="s">
        <v>219</v>
      </c>
      <c r="J13" s="1" t="s">
        <v>241</v>
      </c>
      <c r="K13" s="1" t="s">
        <v>242</v>
      </c>
      <c r="L13" s="1">
        <v>2.26</v>
      </c>
      <c r="M13" s="1" t="s">
        <v>219</v>
      </c>
      <c r="N13" s="1" t="s">
        <v>243</v>
      </c>
      <c r="O13" s="1" t="s">
        <v>223</v>
      </c>
      <c r="P13" s="1">
        <v>1031.0</v>
      </c>
      <c r="Q13" s="1" t="s">
        <v>219</v>
      </c>
      <c r="R13" s="1" t="s">
        <v>242</v>
      </c>
      <c r="S13" s="1" t="s">
        <v>31</v>
      </c>
      <c r="T13" s="1" t="s">
        <v>73</v>
      </c>
      <c r="U13" s="1" t="s">
        <v>71</v>
      </c>
      <c r="V13" s="1" t="s">
        <v>72</v>
      </c>
      <c r="W13" s="1" t="s">
        <v>31</v>
      </c>
      <c r="X13" s="1" t="s">
        <v>219</v>
      </c>
      <c r="Y13" s="1" t="s">
        <v>243</v>
      </c>
      <c r="Z13" s="1" t="s">
        <v>51</v>
      </c>
      <c r="AA13" s="1" t="s">
        <v>31</v>
      </c>
      <c r="AB13" s="1" t="s">
        <v>31</v>
      </c>
      <c r="AC13" s="1" t="s">
        <v>227</v>
      </c>
      <c r="AD13" s="1" t="s">
        <v>31</v>
      </c>
      <c r="AE13" s="5"/>
    </row>
    <row r="14" ht="14.25" customHeight="1">
      <c r="A14" s="1" t="s">
        <v>33</v>
      </c>
      <c r="B14" s="1">
        <v>1.1000387E7</v>
      </c>
      <c r="C14" s="1" t="str">
        <f>VLOOKUP(B14,Equipment!A$1:J$575,9,0)</f>
        <v>#N/A</v>
      </c>
      <c r="D14" s="1" t="s">
        <v>253</v>
      </c>
      <c r="E14" s="1" t="s">
        <v>254</v>
      </c>
      <c r="F14" s="1" t="s">
        <v>255</v>
      </c>
      <c r="G14" s="1" t="s">
        <v>256</v>
      </c>
      <c r="H14" s="1" t="s">
        <v>219</v>
      </c>
      <c r="I14" s="1" t="s">
        <v>63</v>
      </c>
      <c r="J14" s="1" t="s">
        <v>257</v>
      </c>
      <c r="K14" s="1" t="s">
        <v>258</v>
      </c>
      <c r="L14" s="1">
        <v>0.48</v>
      </c>
      <c r="M14" s="1" t="s">
        <v>219</v>
      </c>
      <c r="N14" s="1" t="s">
        <v>259</v>
      </c>
      <c r="O14" s="1" t="s">
        <v>68</v>
      </c>
      <c r="P14" s="1">
        <v>1041.0</v>
      </c>
      <c r="Q14" s="1" t="s">
        <v>63</v>
      </c>
      <c r="R14" s="1" t="s">
        <v>258</v>
      </c>
      <c r="S14" s="1" t="s">
        <v>31</v>
      </c>
      <c r="T14" s="1" t="s">
        <v>73</v>
      </c>
      <c r="U14" s="1" t="s">
        <v>71</v>
      </c>
      <c r="V14" s="1" t="s">
        <v>72</v>
      </c>
      <c r="W14" s="1" t="s">
        <v>31</v>
      </c>
      <c r="X14" s="1" t="s">
        <v>219</v>
      </c>
      <c r="Y14" s="1" t="s">
        <v>263</v>
      </c>
      <c r="Z14" s="1" t="s">
        <v>51</v>
      </c>
      <c r="AA14" s="1" t="s">
        <v>31</v>
      </c>
      <c r="AB14" s="1" t="s">
        <v>31</v>
      </c>
      <c r="AC14" s="1" t="s">
        <v>74</v>
      </c>
      <c r="AD14" s="1" t="s">
        <v>31</v>
      </c>
      <c r="AE14" s="5"/>
    </row>
    <row r="15" ht="14.25" customHeight="1">
      <c r="A15" s="1" t="s">
        <v>33</v>
      </c>
      <c r="B15" s="1">
        <v>1.1000388E7</v>
      </c>
      <c r="C15" s="1" t="str">
        <f>VLOOKUP(B15,Equipment!A$1:J$575,9,0)</f>
        <v>#N/A</v>
      </c>
      <c r="D15" s="1" t="s">
        <v>267</v>
      </c>
      <c r="E15" s="1" t="s">
        <v>268</v>
      </c>
      <c r="F15" s="1" t="s">
        <v>269</v>
      </c>
      <c r="G15" s="1" t="s">
        <v>270</v>
      </c>
      <c r="H15" s="1" t="s">
        <v>219</v>
      </c>
      <c r="I15" s="1" t="s">
        <v>219</v>
      </c>
      <c r="J15" s="1" t="s">
        <v>271</v>
      </c>
      <c r="K15" s="1" t="s">
        <v>272</v>
      </c>
      <c r="L15" s="1">
        <v>1.83</v>
      </c>
      <c r="M15" s="1" t="s">
        <v>219</v>
      </c>
      <c r="N15" s="1" t="s">
        <v>273</v>
      </c>
      <c r="O15" s="1" t="s">
        <v>68</v>
      </c>
      <c r="P15" s="1">
        <v>1041.0</v>
      </c>
      <c r="Q15" s="1" t="s">
        <v>219</v>
      </c>
      <c r="R15" s="1" t="s">
        <v>272</v>
      </c>
      <c r="S15" s="1" t="s">
        <v>31</v>
      </c>
      <c r="T15" s="1" t="s">
        <v>73</v>
      </c>
      <c r="U15" s="1" t="s">
        <v>71</v>
      </c>
      <c r="V15" s="1" t="s">
        <v>72</v>
      </c>
      <c r="W15" s="1" t="s">
        <v>31</v>
      </c>
      <c r="X15" s="1" t="s">
        <v>219</v>
      </c>
      <c r="Y15" s="1" t="s">
        <v>278</v>
      </c>
      <c r="Z15" s="1" t="s">
        <v>51</v>
      </c>
      <c r="AA15" s="1" t="s">
        <v>31</v>
      </c>
      <c r="AB15" s="1" t="s">
        <v>31</v>
      </c>
      <c r="AC15" s="1" t="s">
        <v>74</v>
      </c>
      <c r="AD15" s="1" t="s">
        <v>31</v>
      </c>
      <c r="AE15" s="5"/>
    </row>
    <row r="16" ht="14.25" customHeight="1">
      <c r="A16" s="1" t="s">
        <v>33</v>
      </c>
      <c r="B16" s="1">
        <v>1.1000453E7</v>
      </c>
      <c r="C16" s="1" t="str">
        <f>VLOOKUP(B16,Equipment!A$1:J$575,9,0)</f>
        <v>E</v>
      </c>
      <c r="D16" s="1" t="s">
        <v>281</v>
      </c>
      <c r="E16" s="1" t="s">
        <v>282</v>
      </c>
      <c r="F16" s="1" t="s">
        <v>283</v>
      </c>
      <c r="G16" s="1" t="s">
        <v>284</v>
      </c>
      <c r="H16" s="1" t="s">
        <v>219</v>
      </c>
      <c r="I16" s="1" t="s">
        <v>219</v>
      </c>
      <c r="J16" s="1" t="s">
        <v>285</v>
      </c>
      <c r="K16" s="1" t="s">
        <v>286</v>
      </c>
      <c r="L16" s="1">
        <v>3.67</v>
      </c>
      <c r="M16" s="1" t="s">
        <v>219</v>
      </c>
      <c r="N16" s="1" t="s">
        <v>287</v>
      </c>
      <c r="O16" s="1" t="s">
        <v>68</v>
      </c>
      <c r="P16" s="1">
        <v>1041.0</v>
      </c>
      <c r="Q16" s="1" t="s">
        <v>219</v>
      </c>
      <c r="R16" s="1" t="s">
        <v>286</v>
      </c>
      <c r="S16" s="1" t="s">
        <v>31</v>
      </c>
      <c r="T16" s="1" t="s">
        <v>73</v>
      </c>
      <c r="U16" s="1" t="s">
        <v>71</v>
      </c>
      <c r="V16" s="1" t="s">
        <v>72</v>
      </c>
      <c r="W16" s="1" t="s">
        <v>31</v>
      </c>
      <c r="X16" s="1" t="s">
        <v>219</v>
      </c>
      <c r="Y16" s="1" t="s">
        <v>287</v>
      </c>
      <c r="Z16" s="1" t="s">
        <v>51</v>
      </c>
      <c r="AA16" s="1" t="s">
        <v>31</v>
      </c>
      <c r="AB16" s="1" t="s">
        <v>31</v>
      </c>
      <c r="AC16" s="1" t="s">
        <v>74</v>
      </c>
      <c r="AD16" s="1" t="s">
        <v>31</v>
      </c>
      <c r="AE16" s="5"/>
    </row>
    <row r="17" ht="14.25" customHeight="1">
      <c r="A17" s="1" t="s">
        <v>33</v>
      </c>
      <c r="B17" s="1">
        <v>1.1000454E7</v>
      </c>
      <c r="C17" s="1" t="str">
        <f>VLOOKUP(B17,Equipment!A$1:J$575,9,0)</f>
        <v>E</v>
      </c>
      <c r="D17" s="1" t="s">
        <v>292</v>
      </c>
      <c r="E17" s="1" t="s">
        <v>293</v>
      </c>
      <c r="F17" s="1" t="s">
        <v>294</v>
      </c>
      <c r="G17" s="1" t="s">
        <v>295</v>
      </c>
      <c r="H17" s="1" t="s">
        <v>219</v>
      </c>
      <c r="I17" s="1" t="s">
        <v>219</v>
      </c>
      <c r="J17" s="1" t="s">
        <v>297</v>
      </c>
      <c r="K17" s="1" t="s">
        <v>298</v>
      </c>
      <c r="L17" s="1">
        <v>0.33</v>
      </c>
      <c r="M17" s="1" t="s">
        <v>219</v>
      </c>
      <c r="N17" s="1" t="s">
        <v>299</v>
      </c>
      <c r="O17" s="1" t="s">
        <v>68</v>
      </c>
      <c r="P17" s="1">
        <v>1041.0</v>
      </c>
      <c r="Q17" s="1" t="s">
        <v>219</v>
      </c>
      <c r="R17" s="1" t="s">
        <v>298</v>
      </c>
      <c r="S17" s="1" t="s">
        <v>31</v>
      </c>
      <c r="T17" s="1" t="s">
        <v>73</v>
      </c>
      <c r="U17" s="1" t="s">
        <v>71</v>
      </c>
      <c r="V17" s="1" t="s">
        <v>72</v>
      </c>
      <c r="W17" s="1" t="s">
        <v>31</v>
      </c>
      <c r="X17" s="1" t="s">
        <v>219</v>
      </c>
      <c r="Y17" s="1" t="s">
        <v>299</v>
      </c>
      <c r="Z17" s="1" t="s">
        <v>51</v>
      </c>
      <c r="AA17" s="1" t="s">
        <v>31</v>
      </c>
      <c r="AB17" s="1" t="s">
        <v>31</v>
      </c>
      <c r="AC17" s="1" t="s">
        <v>74</v>
      </c>
      <c r="AD17" s="1" t="s">
        <v>31</v>
      </c>
      <c r="AE17" s="5"/>
    </row>
    <row r="18" ht="14.25" customHeight="1">
      <c r="A18" s="1" t="s">
        <v>33</v>
      </c>
      <c r="B18" s="1">
        <v>1.1000455E7</v>
      </c>
      <c r="C18" s="1" t="str">
        <f>VLOOKUP(B18,Equipment!A$1:J$575,9,0)</f>
        <v>E</v>
      </c>
      <c r="D18" s="1" t="s">
        <v>304</v>
      </c>
      <c r="E18" s="1" t="s">
        <v>305</v>
      </c>
      <c r="F18" s="1" t="s">
        <v>81</v>
      </c>
      <c r="G18" s="1" t="s">
        <v>307</v>
      </c>
      <c r="H18" s="1" t="s">
        <v>219</v>
      </c>
      <c r="I18" s="1" t="s">
        <v>219</v>
      </c>
      <c r="J18" s="1" t="s">
        <v>309</v>
      </c>
      <c r="K18" s="1" t="s">
        <v>310</v>
      </c>
      <c r="L18" s="1">
        <v>0.67</v>
      </c>
      <c r="M18" s="1" t="s">
        <v>219</v>
      </c>
      <c r="N18" s="1" t="s">
        <v>311</v>
      </c>
      <c r="O18" s="1" t="s">
        <v>68</v>
      </c>
      <c r="P18" s="1">
        <v>1041.0</v>
      </c>
      <c r="Q18" s="1" t="s">
        <v>219</v>
      </c>
      <c r="R18" s="1" t="s">
        <v>310</v>
      </c>
      <c r="S18" s="1" t="s">
        <v>31</v>
      </c>
      <c r="T18" s="1" t="s">
        <v>73</v>
      </c>
      <c r="U18" s="1" t="s">
        <v>71</v>
      </c>
      <c r="V18" s="1" t="s">
        <v>72</v>
      </c>
      <c r="W18" s="1" t="s">
        <v>31</v>
      </c>
      <c r="X18" s="1" t="s">
        <v>219</v>
      </c>
      <c r="Y18" s="1" t="s">
        <v>311</v>
      </c>
      <c r="Z18" s="1" t="s">
        <v>51</v>
      </c>
      <c r="AA18" s="1" t="s">
        <v>31</v>
      </c>
      <c r="AB18" s="1" t="s">
        <v>31</v>
      </c>
      <c r="AC18" s="1" t="s">
        <v>74</v>
      </c>
      <c r="AD18" s="1" t="s">
        <v>31</v>
      </c>
      <c r="AE18" s="5"/>
    </row>
    <row r="19" ht="14.25" customHeight="1">
      <c r="A19" s="1" t="s">
        <v>33</v>
      </c>
      <c r="B19" s="1">
        <v>1.1000208E7</v>
      </c>
      <c r="C19" s="1" t="str">
        <f>VLOOKUP(B19,Equipment!A$1:J$575,9,0)</f>
        <v>E</v>
      </c>
      <c r="D19" s="1" t="s">
        <v>314</v>
      </c>
      <c r="E19" s="1" t="s">
        <v>315</v>
      </c>
      <c r="F19" s="1" t="s">
        <v>316</v>
      </c>
      <c r="G19" s="1" t="s">
        <v>317</v>
      </c>
      <c r="H19" s="1" t="s">
        <v>219</v>
      </c>
      <c r="I19" s="1" t="s">
        <v>219</v>
      </c>
      <c r="J19" s="1" t="s">
        <v>318</v>
      </c>
      <c r="K19" s="1" t="s">
        <v>271</v>
      </c>
      <c r="L19" s="1">
        <v>3.0</v>
      </c>
      <c r="M19" s="1" t="s">
        <v>219</v>
      </c>
      <c r="N19" s="1" t="s">
        <v>318</v>
      </c>
      <c r="O19" s="1" t="s">
        <v>131</v>
      </c>
      <c r="P19" s="1">
        <v>2001.0</v>
      </c>
      <c r="Q19" s="1" t="s">
        <v>219</v>
      </c>
      <c r="R19" s="1" t="s">
        <v>271</v>
      </c>
      <c r="S19" s="1" t="s">
        <v>219</v>
      </c>
      <c r="T19" s="1" t="s">
        <v>271</v>
      </c>
      <c r="U19" s="1" t="s">
        <v>71</v>
      </c>
      <c r="V19" s="1" t="s">
        <v>72</v>
      </c>
      <c r="W19" s="1" t="s">
        <v>31</v>
      </c>
      <c r="X19" s="1" t="s">
        <v>219</v>
      </c>
      <c r="Y19" s="1" t="s">
        <v>318</v>
      </c>
      <c r="Z19" s="1" t="s">
        <v>51</v>
      </c>
      <c r="AA19" s="1" t="s">
        <v>31</v>
      </c>
      <c r="AB19" s="1" t="s">
        <v>31</v>
      </c>
      <c r="AC19" s="1" t="s">
        <v>137</v>
      </c>
      <c r="AD19" s="1" t="s">
        <v>31</v>
      </c>
      <c r="AE19" s="5"/>
    </row>
    <row r="20" ht="14.25" customHeight="1">
      <c r="A20" s="1" t="s">
        <v>33</v>
      </c>
      <c r="B20" s="1">
        <v>1.1000227E7</v>
      </c>
      <c r="C20" s="1" t="str">
        <f>VLOOKUP(B20,Equipment!A$1:J$575,9,0)</f>
        <v>E</v>
      </c>
      <c r="D20" s="1" t="s">
        <v>323</v>
      </c>
      <c r="E20" s="1" t="s">
        <v>325</v>
      </c>
      <c r="F20" s="1" t="s">
        <v>326</v>
      </c>
      <c r="G20" s="1" t="s">
        <v>327</v>
      </c>
      <c r="H20" s="1" t="s">
        <v>219</v>
      </c>
      <c r="I20" s="1" t="s">
        <v>162</v>
      </c>
      <c r="J20" s="1" t="s">
        <v>329</v>
      </c>
      <c r="K20" s="1" t="s">
        <v>309</v>
      </c>
      <c r="L20" s="1">
        <v>3.5</v>
      </c>
      <c r="M20" s="1" t="s">
        <v>219</v>
      </c>
      <c r="N20" s="1" t="s">
        <v>329</v>
      </c>
      <c r="O20" s="1" t="s">
        <v>121</v>
      </c>
      <c r="P20" s="1">
        <v>2001.0</v>
      </c>
      <c r="Q20" s="1" t="s">
        <v>162</v>
      </c>
      <c r="R20" s="1" t="s">
        <v>309</v>
      </c>
      <c r="S20" s="1" t="s">
        <v>31</v>
      </c>
      <c r="T20" s="1" t="s">
        <v>73</v>
      </c>
      <c r="U20" s="1" t="s">
        <v>71</v>
      </c>
      <c r="V20" s="1" t="s">
        <v>72</v>
      </c>
      <c r="W20" s="1" t="s">
        <v>31</v>
      </c>
      <c r="X20" s="1" t="s">
        <v>219</v>
      </c>
      <c r="Y20" s="1" t="s">
        <v>330</v>
      </c>
      <c r="Z20" s="1" t="s">
        <v>51</v>
      </c>
      <c r="AA20" s="1" t="s">
        <v>31</v>
      </c>
      <c r="AB20" s="1" t="s">
        <v>31</v>
      </c>
      <c r="AC20" s="1" t="s">
        <v>331</v>
      </c>
      <c r="AD20" s="1" t="s">
        <v>31</v>
      </c>
      <c r="AE20" s="5"/>
    </row>
    <row r="21" ht="14.25" customHeight="1">
      <c r="A21" s="1" t="s">
        <v>33</v>
      </c>
      <c r="B21" s="1">
        <v>1.1000302E7</v>
      </c>
      <c r="C21" s="1" t="str">
        <f>VLOOKUP(B21,Equipment!A$1:J$575,9,0)</f>
        <v>E</v>
      </c>
      <c r="D21" s="1" t="s">
        <v>335</v>
      </c>
      <c r="E21" s="1" t="s">
        <v>336</v>
      </c>
      <c r="F21" s="1" t="s">
        <v>337</v>
      </c>
      <c r="G21" s="1" t="s">
        <v>338</v>
      </c>
      <c r="H21" s="1" t="s">
        <v>219</v>
      </c>
      <c r="I21" s="1" t="s">
        <v>219</v>
      </c>
      <c r="J21" s="1" t="s">
        <v>339</v>
      </c>
      <c r="K21" s="1" t="s">
        <v>341</v>
      </c>
      <c r="L21" s="1">
        <v>3.5</v>
      </c>
      <c r="M21" s="1" t="s">
        <v>219</v>
      </c>
      <c r="N21" s="1" t="s">
        <v>339</v>
      </c>
      <c r="O21" s="1" t="s">
        <v>131</v>
      </c>
      <c r="P21" s="1">
        <v>2001.0</v>
      </c>
      <c r="Q21" s="1" t="s">
        <v>219</v>
      </c>
      <c r="R21" s="1" t="s">
        <v>341</v>
      </c>
      <c r="S21" s="1" t="s">
        <v>31</v>
      </c>
      <c r="T21" s="1" t="s">
        <v>73</v>
      </c>
      <c r="U21" s="1" t="s">
        <v>71</v>
      </c>
      <c r="V21" s="1" t="s">
        <v>72</v>
      </c>
      <c r="W21" s="1" t="s">
        <v>31</v>
      </c>
      <c r="X21" s="1" t="s">
        <v>219</v>
      </c>
      <c r="Y21" s="1" t="s">
        <v>343</v>
      </c>
      <c r="Z21" s="1" t="s">
        <v>51</v>
      </c>
      <c r="AA21" s="1" t="s">
        <v>31</v>
      </c>
      <c r="AB21" s="1" t="s">
        <v>31</v>
      </c>
      <c r="AC21" s="1" t="s">
        <v>137</v>
      </c>
      <c r="AD21" s="1" t="s">
        <v>31</v>
      </c>
      <c r="AE21" s="5"/>
    </row>
    <row r="22" ht="14.25" customHeight="1">
      <c r="A22" s="1" t="s">
        <v>33</v>
      </c>
      <c r="B22" s="1">
        <v>1.1000322E7</v>
      </c>
      <c r="C22" s="1" t="str">
        <f>VLOOKUP(B22,Equipment!A$1:J$575,9,0)</f>
        <v>E</v>
      </c>
      <c r="D22" s="1" t="s">
        <v>345</v>
      </c>
      <c r="E22" s="1" t="s">
        <v>346</v>
      </c>
      <c r="F22" s="1" t="s">
        <v>127</v>
      </c>
      <c r="G22" s="1" t="s">
        <v>347</v>
      </c>
      <c r="H22" s="1" t="s">
        <v>219</v>
      </c>
      <c r="I22" s="1" t="s">
        <v>219</v>
      </c>
      <c r="J22" s="1" t="s">
        <v>348</v>
      </c>
      <c r="K22" s="1" t="s">
        <v>349</v>
      </c>
      <c r="L22" s="1">
        <v>1.0</v>
      </c>
      <c r="M22" s="1" t="s">
        <v>219</v>
      </c>
      <c r="N22" s="1" t="s">
        <v>348</v>
      </c>
      <c r="O22" s="1" t="s">
        <v>131</v>
      </c>
      <c r="P22" s="1">
        <v>2001.0</v>
      </c>
      <c r="Q22" s="1" t="s">
        <v>219</v>
      </c>
      <c r="R22" s="1" t="s">
        <v>349</v>
      </c>
      <c r="S22" s="1" t="s">
        <v>31</v>
      </c>
      <c r="T22" s="1" t="s">
        <v>73</v>
      </c>
      <c r="U22" s="1" t="s">
        <v>71</v>
      </c>
      <c r="V22" s="1" t="s">
        <v>72</v>
      </c>
      <c r="W22" s="1" t="s">
        <v>31</v>
      </c>
      <c r="X22" s="1" t="s">
        <v>219</v>
      </c>
      <c r="Y22" s="1" t="s">
        <v>350</v>
      </c>
      <c r="Z22" s="1" t="s">
        <v>51</v>
      </c>
      <c r="AA22" s="1" t="s">
        <v>31</v>
      </c>
      <c r="AB22" s="1" t="s">
        <v>31</v>
      </c>
      <c r="AC22" s="1" t="s">
        <v>137</v>
      </c>
      <c r="AD22" s="1" t="s">
        <v>31</v>
      </c>
      <c r="AE22" s="5"/>
    </row>
    <row r="23" ht="14.25" customHeight="1">
      <c r="A23" s="1" t="s">
        <v>33</v>
      </c>
      <c r="B23" s="1">
        <v>1.1000576E7</v>
      </c>
      <c r="C23" s="1" t="str">
        <f>VLOOKUP(B23,Equipment!A$1:J$575,9,0)</f>
        <v>E</v>
      </c>
      <c r="D23" s="1" t="s">
        <v>353</v>
      </c>
      <c r="E23" s="1" t="s">
        <v>354</v>
      </c>
      <c r="F23" s="1" t="s">
        <v>355</v>
      </c>
      <c r="G23" s="1" t="s">
        <v>356</v>
      </c>
      <c r="H23" s="1" t="s">
        <v>357</v>
      </c>
      <c r="I23" s="1" t="s">
        <v>357</v>
      </c>
      <c r="J23" s="1" t="s">
        <v>358</v>
      </c>
      <c r="K23" s="1" t="s">
        <v>359</v>
      </c>
      <c r="L23" s="1">
        <v>1.25</v>
      </c>
      <c r="M23" s="1" t="s">
        <v>357</v>
      </c>
      <c r="N23" s="1" t="s">
        <v>360</v>
      </c>
      <c r="O23" s="1" t="s">
        <v>223</v>
      </c>
      <c r="P23" s="1">
        <v>1031.0</v>
      </c>
      <c r="Q23" s="1" t="s">
        <v>357</v>
      </c>
      <c r="R23" s="1" t="s">
        <v>359</v>
      </c>
      <c r="S23" s="1" t="s">
        <v>31</v>
      </c>
      <c r="T23" s="1" t="s">
        <v>73</v>
      </c>
      <c r="U23" s="1" t="s">
        <v>71</v>
      </c>
      <c r="V23" s="1" t="s">
        <v>72</v>
      </c>
      <c r="W23" s="1" t="s">
        <v>31</v>
      </c>
      <c r="X23" s="1" t="s">
        <v>357</v>
      </c>
      <c r="Y23" s="1" t="s">
        <v>360</v>
      </c>
      <c r="Z23" s="1" t="s">
        <v>51</v>
      </c>
      <c r="AA23" s="1" t="s">
        <v>31</v>
      </c>
      <c r="AB23" s="1" t="s">
        <v>31</v>
      </c>
      <c r="AC23" s="1" t="s">
        <v>227</v>
      </c>
      <c r="AD23" s="1" t="s">
        <v>31</v>
      </c>
      <c r="AE23" s="5"/>
    </row>
    <row r="24" ht="14.25" customHeight="1">
      <c r="A24" s="1" t="s">
        <v>33</v>
      </c>
      <c r="B24" s="1">
        <v>1.1000578E7</v>
      </c>
      <c r="C24" s="1" t="str">
        <f>VLOOKUP(B24,Equipment!A$1:J$575,9,0)</f>
        <v>E</v>
      </c>
      <c r="D24" s="1" t="s">
        <v>370</v>
      </c>
      <c r="E24" s="1" t="s">
        <v>371</v>
      </c>
      <c r="F24" s="1" t="s">
        <v>237</v>
      </c>
      <c r="G24" s="1" t="s">
        <v>373</v>
      </c>
      <c r="H24" s="1" t="s">
        <v>357</v>
      </c>
      <c r="I24" s="1" t="s">
        <v>357</v>
      </c>
      <c r="J24" s="1" t="s">
        <v>375</v>
      </c>
      <c r="K24" s="1" t="s">
        <v>376</v>
      </c>
      <c r="L24" s="1">
        <v>0.91</v>
      </c>
      <c r="M24" s="1" t="s">
        <v>357</v>
      </c>
      <c r="N24" s="1" t="s">
        <v>379</v>
      </c>
      <c r="O24" s="1" t="s">
        <v>223</v>
      </c>
      <c r="P24" s="1">
        <v>1031.0</v>
      </c>
      <c r="Q24" s="1" t="s">
        <v>219</v>
      </c>
      <c r="R24" s="1" t="s">
        <v>376</v>
      </c>
      <c r="S24" s="1" t="s">
        <v>31</v>
      </c>
      <c r="T24" s="1" t="s">
        <v>73</v>
      </c>
      <c r="U24" s="1" t="s">
        <v>71</v>
      </c>
      <c r="V24" s="1" t="s">
        <v>72</v>
      </c>
      <c r="W24" s="1" t="s">
        <v>31</v>
      </c>
      <c r="X24" s="1" t="s">
        <v>357</v>
      </c>
      <c r="Y24" s="1" t="s">
        <v>379</v>
      </c>
      <c r="Z24" s="1" t="s">
        <v>51</v>
      </c>
      <c r="AA24" s="1" t="s">
        <v>31</v>
      </c>
      <c r="AB24" s="1" t="s">
        <v>31</v>
      </c>
      <c r="AC24" s="1" t="s">
        <v>227</v>
      </c>
      <c r="AD24" s="1" t="s">
        <v>31</v>
      </c>
      <c r="AE24" s="5"/>
    </row>
    <row r="25" ht="14.25" customHeight="1">
      <c r="A25" s="1" t="s">
        <v>33</v>
      </c>
      <c r="B25" s="1">
        <v>1.1000379E7</v>
      </c>
      <c r="C25" s="1" t="str">
        <f>VLOOKUP(B25,Equipment!A$1:J$575,9,0)</f>
        <v>E</v>
      </c>
      <c r="D25" s="1" t="s">
        <v>384</v>
      </c>
      <c r="E25" s="1" t="s">
        <v>385</v>
      </c>
      <c r="F25" s="1" t="s">
        <v>386</v>
      </c>
      <c r="G25" s="1" t="s">
        <v>387</v>
      </c>
      <c r="H25" s="1" t="s">
        <v>357</v>
      </c>
      <c r="I25" s="1" t="s">
        <v>219</v>
      </c>
      <c r="J25" s="1" t="s">
        <v>388</v>
      </c>
      <c r="K25" s="1" t="s">
        <v>389</v>
      </c>
      <c r="L25" s="1">
        <v>0.33</v>
      </c>
      <c r="M25" s="1" t="s">
        <v>219</v>
      </c>
      <c r="N25" s="1" t="s">
        <v>390</v>
      </c>
      <c r="O25" s="1" t="s">
        <v>68</v>
      </c>
      <c r="P25" s="1">
        <v>1041.0</v>
      </c>
      <c r="Q25" s="1" t="s">
        <v>219</v>
      </c>
      <c r="R25" s="1" t="s">
        <v>391</v>
      </c>
      <c r="S25" s="1" t="s">
        <v>162</v>
      </c>
      <c r="T25" s="1" t="s">
        <v>392</v>
      </c>
      <c r="U25" s="1" t="s">
        <v>71</v>
      </c>
      <c r="V25" s="1" t="s">
        <v>72</v>
      </c>
      <c r="W25" s="1" t="s">
        <v>31</v>
      </c>
      <c r="X25" s="1" t="s">
        <v>219</v>
      </c>
      <c r="Y25" s="1" t="s">
        <v>392</v>
      </c>
      <c r="Z25" s="1" t="s">
        <v>51</v>
      </c>
      <c r="AA25" s="1" t="s">
        <v>31</v>
      </c>
      <c r="AB25" s="1" t="s">
        <v>31</v>
      </c>
      <c r="AC25" s="1" t="s">
        <v>74</v>
      </c>
      <c r="AD25" s="1" t="s">
        <v>31</v>
      </c>
      <c r="AE25" s="5"/>
    </row>
    <row r="26" ht="14.25" customHeight="1">
      <c r="A26" s="1" t="s">
        <v>33</v>
      </c>
      <c r="B26" s="1">
        <v>1.1000379E7</v>
      </c>
      <c r="C26" s="1" t="str">
        <f>VLOOKUP(B26,Equipment!A$1:J$575,9,0)</f>
        <v>E</v>
      </c>
      <c r="D26" s="1" t="s">
        <v>398</v>
      </c>
      <c r="E26" s="1" t="s">
        <v>399</v>
      </c>
      <c r="F26" s="1" t="s">
        <v>386</v>
      </c>
      <c r="G26" s="1" t="s">
        <v>400</v>
      </c>
      <c r="H26" s="1" t="s">
        <v>357</v>
      </c>
      <c r="I26" s="1" t="s">
        <v>357</v>
      </c>
      <c r="J26" s="1" t="s">
        <v>401</v>
      </c>
      <c r="K26" s="1" t="s">
        <v>402</v>
      </c>
      <c r="L26" s="1">
        <v>0.5</v>
      </c>
      <c r="M26" s="1" t="s">
        <v>357</v>
      </c>
      <c r="N26" s="1" t="s">
        <v>403</v>
      </c>
      <c r="O26" s="1" t="s">
        <v>68</v>
      </c>
      <c r="P26" s="1">
        <v>1041.0</v>
      </c>
      <c r="Q26" s="1" t="s">
        <v>357</v>
      </c>
      <c r="R26" s="1" t="s">
        <v>402</v>
      </c>
      <c r="S26" s="1" t="s">
        <v>90</v>
      </c>
      <c r="T26" s="1" t="s">
        <v>407</v>
      </c>
      <c r="U26" s="1" t="s">
        <v>71</v>
      </c>
      <c r="V26" s="1" t="s">
        <v>72</v>
      </c>
      <c r="W26" s="1" t="s">
        <v>31</v>
      </c>
      <c r="X26" s="1" t="s">
        <v>357</v>
      </c>
      <c r="Y26" s="1" t="s">
        <v>407</v>
      </c>
      <c r="Z26" s="1" t="s">
        <v>51</v>
      </c>
      <c r="AA26" s="1" t="s">
        <v>31</v>
      </c>
      <c r="AB26" s="1" t="s">
        <v>31</v>
      </c>
      <c r="AC26" s="1" t="s">
        <v>74</v>
      </c>
      <c r="AD26" s="1" t="s">
        <v>31</v>
      </c>
      <c r="AE26" s="5"/>
    </row>
    <row r="27" ht="14.25" customHeight="1">
      <c r="A27" s="1" t="s">
        <v>33</v>
      </c>
      <c r="B27" s="1">
        <v>1.1000386E7</v>
      </c>
      <c r="C27" s="1" t="str">
        <f>VLOOKUP(B27,Equipment!A$1:J$575,9,0)</f>
        <v>E</v>
      </c>
      <c r="D27" s="1" t="s">
        <v>413</v>
      </c>
      <c r="E27" s="1" t="s">
        <v>414</v>
      </c>
      <c r="F27" s="1" t="s">
        <v>415</v>
      </c>
      <c r="G27" s="1" t="s">
        <v>416</v>
      </c>
      <c r="H27" s="1" t="s">
        <v>357</v>
      </c>
      <c r="I27" s="1" t="s">
        <v>357</v>
      </c>
      <c r="J27" s="1" t="s">
        <v>417</v>
      </c>
      <c r="K27" s="1" t="s">
        <v>418</v>
      </c>
      <c r="L27" s="1">
        <v>1.0</v>
      </c>
      <c r="M27" s="1" t="s">
        <v>357</v>
      </c>
      <c r="N27" s="1" t="s">
        <v>420</v>
      </c>
      <c r="O27" s="1" t="s">
        <v>68</v>
      </c>
      <c r="P27" s="1">
        <v>1041.0</v>
      </c>
      <c r="Q27" s="1" t="s">
        <v>357</v>
      </c>
      <c r="R27" s="1" t="s">
        <v>418</v>
      </c>
      <c r="S27" s="1" t="s">
        <v>219</v>
      </c>
      <c r="T27" s="1" t="s">
        <v>423</v>
      </c>
      <c r="U27" s="1" t="s">
        <v>71</v>
      </c>
      <c r="V27" s="1" t="s">
        <v>72</v>
      </c>
      <c r="W27" s="1" t="s">
        <v>31</v>
      </c>
      <c r="X27" s="1" t="s">
        <v>357</v>
      </c>
      <c r="Y27" s="1" t="s">
        <v>424</v>
      </c>
      <c r="Z27" s="1" t="s">
        <v>51</v>
      </c>
      <c r="AA27" s="1" t="s">
        <v>31</v>
      </c>
      <c r="AB27" s="1" t="s">
        <v>31</v>
      </c>
      <c r="AC27" s="1" t="s">
        <v>74</v>
      </c>
      <c r="AD27" s="1" t="s">
        <v>31</v>
      </c>
      <c r="AE27" s="5"/>
    </row>
    <row r="28" ht="14.25" customHeight="1">
      <c r="A28" s="1" t="s">
        <v>33</v>
      </c>
      <c r="B28" s="1">
        <v>1.1000449E7</v>
      </c>
      <c r="C28" s="1" t="str">
        <f>VLOOKUP(B28,Equipment!A$1:J$575,9,0)</f>
        <v>E</v>
      </c>
      <c r="D28" s="1" t="s">
        <v>427</v>
      </c>
      <c r="E28" s="1" t="s">
        <v>428</v>
      </c>
      <c r="F28" s="1" t="s">
        <v>160</v>
      </c>
      <c r="G28" s="1" t="s">
        <v>429</v>
      </c>
      <c r="H28" s="1" t="s">
        <v>357</v>
      </c>
      <c r="I28" s="1" t="s">
        <v>357</v>
      </c>
      <c r="J28" s="1" t="s">
        <v>430</v>
      </c>
      <c r="K28" s="1" t="s">
        <v>431</v>
      </c>
      <c r="L28" s="1">
        <v>3.35</v>
      </c>
      <c r="M28" s="1" t="s">
        <v>357</v>
      </c>
      <c r="N28" s="1" t="s">
        <v>430</v>
      </c>
      <c r="O28" s="1" t="s">
        <v>68</v>
      </c>
      <c r="P28" s="1">
        <v>1041.0</v>
      </c>
      <c r="Q28" s="1" t="s">
        <v>357</v>
      </c>
      <c r="R28" s="1" t="s">
        <v>431</v>
      </c>
      <c r="S28" s="1" t="s">
        <v>219</v>
      </c>
      <c r="T28" s="1" t="s">
        <v>435</v>
      </c>
      <c r="U28" s="1" t="s">
        <v>71</v>
      </c>
      <c r="V28" s="1" t="s">
        <v>72</v>
      </c>
      <c r="W28" s="1" t="s">
        <v>31</v>
      </c>
      <c r="X28" s="1" t="s">
        <v>31</v>
      </c>
      <c r="Y28" s="1" t="s">
        <v>73</v>
      </c>
      <c r="Z28" s="1" t="s">
        <v>51</v>
      </c>
      <c r="AA28" s="1" t="s">
        <v>31</v>
      </c>
      <c r="AB28" s="1" t="s">
        <v>31</v>
      </c>
      <c r="AC28" s="1" t="s">
        <v>74</v>
      </c>
      <c r="AD28" s="1" t="s">
        <v>31</v>
      </c>
      <c r="AE28" s="5"/>
    </row>
    <row r="29" ht="14.25" customHeight="1">
      <c r="A29" s="1" t="s">
        <v>33</v>
      </c>
      <c r="B29" s="1">
        <v>1.1000454E7</v>
      </c>
      <c r="C29" s="1" t="str">
        <f>VLOOKUP(B29,Equipment!A$1:J$575,9,0)</f>
        <v>E</v>
      </c>
      <c r="D29" s="1" t="s">
        <v>439</v>
      </c>
      <c r="E29" s="1" t="s">
        <v>440</v>
      </c>
      <c r="F29" s="1" t="s">
        <v>294</v>
      </c>
      <c r="G29" s="1" t="s">
        <v>441</v>
      </c>
      <c r="H29" s="1" t="s">
        <v>357</v>
      </c>
      <c r="I29" s="1" t="s">
        <v>357</v>
      </c>
      <c r="J29" s="1" t="s">
        <v>442</v>
      </c>
      <c r="K29" s="1" t="s">
        <v>443</v>
      </c>
      <c r="L29" s="1">
        <v>0.48</v>
      </c>
      <c r="M29" s="1" t="s">
        <v>357</v>
      </c>
      <c r="N29" s="1" t="s">
        <v>442</v>
      </c>
      <c r="O29" s="1" t="s">
        <v>68</v>
      </c>
      <c r="P29" s="1">
        <v>1041.0</v>
      </c>
      <c r="Q29" s="1" t="s">
        <v>357</v>
      </c>
      <c r="R29" s="1" t="s">
        <v>443</v>
      </c>
      <c r="S29" s="1" t="s">
        <v>219</v>
      </c>
      <c r="T29" s="1" t="s">
        <v>445</v>
      </c>
      <c r="U29" s="1" t="s">
        <v>71</v>
      </c>
      <c r="V29" s="1" t="s">
        <v>72</v>
      </c>
      <c r="W29" s="1" t="s">
        <v>31</v>
      </c>
      <c r="X29" s="1" t="s">
        <v>31</v>
      </c>
      <c r="Y29" s="1" t="s">
        <v>73</v>
      </c>
      <c r="Z29" s="1" t="s">
        <v>51</v>
      </c>
      <c r="AA29" s="1" t="s">
        <v>31</v>
      </c>
      <c r="AB29" s="1" t="s">
        <v>31</v>
      </c>
      <c r="AC29" s="1" t="s">
        <v>74</v>
      </c>
      <c r="AD29" s="1" t="s">
        <v>31</v>
      </c>
      <c r="AE29" s="5"/>
    </row>
    <row r="30" ht="14.25" customHeight="1">
      <c r="A30" s="1" t="s">
        <v>33</v>
      </c>
      <c r="B30" s="1">
        <v>1.1000494E7</v>
      </c>
      <c r="C30" s="1" t="str">
        <f>VLOOKUP(B30,Equipment!A$1:J$575,9,0)</f>
        <v>E</v>
      </c>
      <c r="D30" s="1" t="s">
        <v>452</v>
      </c>
      <c r="E30" s="1" t="s">
        <v>453</v>
      </c>
      <c r="F30" s="1" t="s">
        <v>454</v>
      </c>
      <c r="G30" s="1" t="s">
        <v>455</v>
      </c>
      <c r="H30" s="1" t="s">
        <v>357</v>
      </c>
      <c r="I30" s="1" t="s">
        <v>357</v>
      </c>
      <c r="J30" s="1" t="s">
        <v>456</v>
      </c>
      <c r="K30" s="1" t="s">
        <v>457</v>
      </c>
      <c r="L30" s="1">
        <v>8.0</v>
      </c>
      <c r="M30" s="1" t="s">
        <v>357</v>
      </c>
      <c r="N30" s="1" t="s">
        <v>459</v>
      </c>
      <c r="O30" s="1" t="s">
        <v>68</v>
      </c>
      <c r="P30" s="1">
        <v>1041.0</v>
      </c>
      <c r="Q30" s="1" t="s">
        <v>357</v>
      </c>
      <c r="R30" s="1" t="s">
        <v>457</v>
      </c>
      <c r="S30" s="1" t="s">
        <v>90</v>
      </c>
      <c r="T30" s="1" t="s">
        <v>461</v>
      </c>
      <c r="U30" s="1" t="s">
        <v>71</v>
      </c>
      <c r="V30" s="1" t="s">
        <v>72</v>
      </c>
      <c r="W30" s="1" t="s">
        <v>31</v>
      </c>
      <c r="X30" s="1" t="s">
        <v>31</v>
      </c>
      <c r="Y30" s="1" t="s">
        <v>73</v>
      </c>
      <c r="Z30" s="1" t="s">
        <v>51</v>
      </c>
      <c r="AA30" s="1" t="s">
        <v>31</v>
      </c>
      <c r="AB30" s="1" t="s">
        <v>31</v>
      </c>
      <c r="AC30" s="1" t="s">
        <v>74</v>
      </c>
      <c r="AD30" s="1" t="s">
        <v>31</v>
      </c>
      <c r="AE30" s="5"/>
    </row>
    <row r="31" ht="14.25" customHeight="1">
      <c r="A31" s="1" t="s">
        <v>33</v>
      </c>
      <c r="B31" s="1">
        <v>1.1000227E7</v>
      </c>
      <c r="C31" s="1" t="str">
        <f>VLOOKUP(B31,Equipment!A$1:J$575,9,0)</f>
        <v>E</v>
      </c>
      <c r="D31" s="1" t="s">
        <v>466</v>
      </c>
      <c r="E31" s="1" t="s">
        <v>467</v>
      </c>
      <c r="F31" s="1" t="s">
        <v>326</v>
      </c>
      <c r="G31" s="1" t="s">
        <v>468</v>
      </c>
      <c r="H31" s="1" t="s">
        <v>357</v>
      </c>
      <c r="I31" s="1" t="s">
        <v>357</v>
      </c>
      <c r="J31" s="1" t="s">
        <v>456</v>
      </c>
      <c r="K31" s="1" t="s">
        <v>469</v>
      </c>
      <c r="L31" s="1">
        <v>10.5</v>
      </c>
      <c r="M31" s="1" t="s">
        <v>357</v>
      </c>
      <c r="N31" s="1" t="s">
        <v>456</v>
      </c>
      <c r="O31" s="1" t="s">
        <v>121</v>
      </c>
      <c r="P31" s="1">
        <v>2001.0</v>
      </c>
      <c r="Q31" s="1" t="s">
        <v>357</v>
      </c>
      <c r="R31" s="1" t="s">
        <v>469</v>
      </c>
      <c r="S31" s="1" t="s">
        <v>31</v>
      </c>
      <c r="T31" s="1" t="s">
        <v>73</v>
      </c>
      <c r="U31" s="1" t="s">
        <v>71</v>
      </c>
      <c r="V31" s="1" t="s">
        <v>72</v>
      </c>
      <c r="W31" s="1" t="s">
        <v>31</v>
      </c>
      <c r="X31" s="1" t="s">
        <v>357</v>
      </c>
      <c r="Y31" s="1" t="s">
        <v>471</v>
      </c>
      <c r="Z31" s="1" t="s">
        <v>51</v>
      </c>
      <c r="AA31" s="1" t="s">
        <v>31</v>
      </c>
      <c r="AB31" s="1" t="s">
        <v>31</v>
      </c>
      <c r="AC31" s="1" t="s">
        <v>331</v>
      </c>
      <c r="AD31" s="1" t="s">
        <v>31</v>
      </c>
      <c r="AE31" s="5"/>
    </row>
    <row r="32" ht="14.25" customHeight="1">
      <c r="A32" s="1" t="s">
        <v>33</v>
      </c>
      <c r="B32" s="1">
        <v>1.1000254E7</v>
      </c>
      <c r="C32" s="1" t="str">
        <f>VLOOKUP(B32,Equipment!A$1:J$575,9,0)</f>
        <v>E</v>
      </c>
      <c r="D32" s="1" t="s">
        <v>474</v>
      </c>
      <c r="E32" s="1" t="s">
        <v>476</v>
      </c>
      <c r="F32" s="1" t="s">
        <v>477</v>
      </c>
      <c r="G32" s="1" t="s">
        <v>479</v>
      </c>
      <c r="H32" s="1" t="s">
        <v>357</v>
      </c>
      <c r="I32" s="1" t="s">
        <v>357</v>
      </c>
      <c r="J32" s="1" t="s">
        <v>481</v>
      </c>
      <c r="K32" s="1" t="s">
        <v>482</v>
      </c>
      <c r="L32" s="1">
        <v>0.57</v>
      </c>
      <c r="M32" s="1" t="s">
        <v>357</v>
      </c>
      <c r="N32" s="1" t="s">
        <v>481</v>
      </c>
      <c r="O32" s="1" t="s">
        <v>131</v>
      </c>
      <c r="P32" s="1">
        <v>2001.0</v>
      </c>
      <c r="Q32" s="1" t="s">
        <v>357</v>
      </c>
      <c r="R32" s="1" t="s">
        <v>482</v>
      </c>
      <c r="S32" s="1" t="s">
        <v>31</v>
      </c>
      <c r="T32" s="1" t="s">
        <v>73</v>
      </c>
      <c r="U32" s="1" t="s">
        <v>71</v>
      </c>
      <c r="V32" s="1" t="s">
        <v>72</v>
      </c>
      <c r="W32" s="1" t="s">
        <v>31</v>
      </c>
      <c r="X32" s="1" t="s">
        <v>357</v>
      </c>
      <c r="Y32" s="1" t="s">
        <v>481</v>
      </c>
      <c r="Z32" s="1" t="s">
        <v>51</v>
      </c>
      <c r="AA32" s="1" t="s">
        <v>31</v>
      </c>
      <c r="AB32" s="1" t="s">
        <v>31</v>
      </c>
      <c r="AC32" s="1" t="s">
        <v>137</v>
      </c>
      <c r="AD32" s="1" t="s">
        <v>31</v>
      </c>
      <c r="AE32" s="5"/>
    </row>
    <row r="33" ht="14.25" customHeight="1">
      <c r="A33" s="1" t="s">
        <v>33</v>
      </c>
      <c r="B33" s="1">
        <v>1.1000316E7</v>
      </c>
      <c r="C33" s="1" t="str">
        <f>VLOOKUP(B33,Equipment!A$1:J$575,9,0)</f>
        <v>E</v>
      </c>
      <c r="D33" s="1" t="s">
        <v>486</v>
      </c>
      <c r="E33" s="1" t="s">
        <v>487</v>
      </c>
      <c r="F33" s="1" t="s">
        <v>488</v>
      </c>
      <c r="G33" s="1" t="s">
        <v>489</v>
      </c>
      <c r="H33" s="1" t="s">
        <v>357</v>
      </c>
      <c r="I33" s="1" t="s">
        <v>357</v>
      </c>
      <c r="J33" s="1" t="s">
        <v>490</v>
      </c>
      <c r="K33" s="1" t="s">
        <v>329</v>
      </c>
      <c r="L33" s="1">
        <v>1.5</v>
      </c>
      <c r="M33" s="1" t="s">
        <v>357</v>
      </c>
      <c r="N33" s="1" t="s">
        <v>490</v>
      </c>
      <c r="O33" s="1" t="s">
        <v>491</v>
      </c>
      <c r="P33" s="1">
        <v>2001.0</v>
      </c>
      <c r="Q33" s="1" t="s">
        <v>357</v>
      </c>
      <c r="R33" s="1" t="s">
        <v>329</v>
      </c>
      <c r="S33" s="1" t="s">
        <v>357</v>
      </c>
      <c r="T33" s="1" t="s">
        <v>329</v>
      </c>
      <c r="U33" s="1" t="s">
        <v>71</v>
      </c>
      <c r="V33" s="1" t="s">
        <v>72</v>
      </c>
      <c r="W33" s="1" t="s">
        <v>31</v>
      </c>
      <c r="X33" s="1" t="s">
        <v>357</v>
      </c>
      <c r="Y33" s="1" t="s">
        <v>490</v>
      </c>
      <c r="Z33" s="1" t="s">
        <v>51</v>
      </c>
      <c r="AA33" s="1" t="s">
        <v>31</v>
      </c>
      <c r="AB33" s="1" t="s">
        <v>31</v>
      </c>
      <c r="AC33" s="1" t="s">
        <v>496</v>
      </c>
      <c r="AD33" s="1" t="s">
        <v>31</v>
      </c>
      <c r="AE33" s="5"/>
    </row>
    <row r="34" ht="14.25" customHeight="1">
      <c r="A34" s="1" t="s">
        <v>33</v>
      </c>
      <c r="B34" s="1">
        <v>1.1000316E7</v>
      </c>
      <c r="C34" s="1" t="str">
        <f>VLOOKUP(B34,Equipment!A$1:J$575,9,0)</f>
        <v>E</v>
      </c>
      <c r="D34" s="1" t="s">
        <v>497</v>
      </c>
      <c r="E34" s="1" t="s">
        <v>498</v>
      </c>
      <c r="F34" s="1" t="s">
        <v>488</v>
      </c>
      <c r="G34" s="1" t="s">
        <v>499</v>
      </c>
      <c r="H34" s="1" t="s">
        <v>357</v>
      </c>
      <c r="I34" s="1" t="s">
        <v>357</v>
      </c>
      <c r="J34" s="1" t="s">
        <v>119</v>
      </c>
      <c r="K34" s="1" t="s">
        <v>500</v>
      </c>
      <c r="L34" s="1">
        <v>2.5</v>
      </c>
      <c r="M34" s="1" t="s">
        <v>357</v>
      </c>
      <c r="N34" s="1" t="s">
        <v>119</v>
      </c>
      <c r="O34" s="1" t="s">
        <v>491</v>
      </c>
      <c r="P34" s="1">
        <v>2001.0</v>
      </c>
      <c r="Q34" s="1" t="s">
        <v>357</v>
      </c>
      <c r="R34" s="1" t="s">
        <v>500</v>
      </c>
      <c r="S34" s="1" t="s">
        <v>357</v>
      </c>
      <c r="T34" s="1" t="s">
        <v>500</v>
      </c>
      <c r="U34" s="1" t="s">
        <v>71</v>
      </c>
      <c r="V34" s="1" t="s">
        <v>72</v>
      </c>
      <c r="W34" s="1" t="s">
        <v>31</v>
      </c>
      <c r="X34" s="1" t="s">
        <v>357</v>
      </c>
      <c r="Y34" s="1" t="s">
        <v>119</v>
      </c>
      <c r="Z34" s="1" t="s">
        <v>51</v>
      </c>
      <c r="AA34" s="1" t="s">
        <v>31</v>
      </c>
      <c r="AB34" s="1" t="s">
        <v>31</v>
      </c>
      <c r="AC34" s="1" t="s">
        <v>496</v>
      </c>
      <c r="AD34" s="1" t="s">
        <v>31</v>
      </c>
      <c r="AE34" s="5"/>
    </row>
    <row r="35" ht="14.25" customHeight="1">
      <c r="A35" s="1" t="s">
        <v>33</v>
      </c>
      <c r="B35" s="1">
        <v>1.1000318E7</v>
      </c>
      <c r="C35" s="1" t="str">
        <f>VLOOKUP(B35,Equipment!A$1:J$575,9,0)</f>
        <v>E</v>
      </c>
      <c r="D35" s="1" t="s">
        <v>508</v>
      </c>
      <c r="E35" s="1" t="s">
        <v>509</v>
      </c>
      <c r="F35" s="1" t="s">
        <v>510</v>
      </c>
      <c r="G35" s="1" t="s">
        <v>511</v>
      </c>
      <c r="H35" s="1" t="s">
        <v>357</v>
      </c>
      <c r="I35" s="1" t="s">
        <v>357</v>
      </c>
      <c r="J35" s="1" t="s">
        <v>512</v>
      </c>
      <c r="K35" s="1" t="s">
        <v>456</v>
      </c>
      <c r="L35" s="1">
        <v>1.0</v>
      </c>
      <c r="M35" s="1" t="s">
        <v>357</v>
      </c>
      <c r="N35" s="1" t="s">
        <v>512</v>
      </c>
      <c r="O35" s="1" t="s">
        <v>491</v>
      </c>
      <c r="P35" s="1">
        <v>2001.0</v>
      </c>
      <c r="Q35" s="1" t="s">
        <v>357</v>
      </c>
      <c r="R35" s="1" t="s">
        <v>456</v>
      </c>
      <c r="S35" s="1" t="s">
        <v>357</v>
      </c>
      <c r="T35" s="1" t="s">
        <v>456</v>
      </c>
      <c r="U35" s="1" t="s">
        <v>71</v>
      </c>
      <c r="V35" s="1" t="s">
        <v>72</v>
      </c>
      <c r="W35" s="1" t="s">
        <v>31</v>
      </c>
      <c r="X35" s="1" t="s">
        <v>357</v>
      </c>
      <c r="Y35" s="1" t="s">
        <v>512</v>
      </c>
      <c r="Z35" s="1" t="s">
        <v>51</v>
      </c>
      <c r="AA35" s="1" t="s">
        <v>31</v>
      </c>
      <c r="AB35" s="1" t="s">
        <v>31</v>
      </c>
      <c r="AC35" s="1" t="s">
        <v>516</v>
      </c>
      <c r="AD35" s="1" t="s">
        <v>31</v>
      </c>
      <c r="AE35" s="5"/>
    </row>
    <row r="36" ht="14.25" customHeight="1">
      <c r="A36" s="1" t="s">
        <v>33</v>
      </c>
      <c r="B36" s="1">
        <v>1.1000322E7</v>
      </c>
      <c r="C36" s="1" t="str">
        <f>VLOOKUP(B36,Equipment!A$1:J$575,9,0)</f>
        <v>E</v>
      </c>
      <c r="D36" s="1" t="s">
        <v>520</v>
      </c>
      <c r="E36" s="1" t="s">
        <v>521</v>
      </c>
      <c r="F36" s="1" t="s">
        <v>127</v>
      </c>
      <c r="G36" s="1" t="s">
        <v>522</v>
      </c>
      <c r="H36" s="1" t="s">
        <v>357</v>
      </c>
      <c r="I36" s="1" t="s">
        <v>357</v>
      </c>
      <c r="J36" s="1" t="s">
        <v>349</v>
      </c>
      <c r="K36" s="1" t="s">
        <v>490</v>
      </c>
      <c r="L36" s="1">
        <v>1.0</v>
      </c>
      <c r="M36" s="1" t="s">
        <v>357</v>
      </c>
      <c r="N36" s="1" t="s">
        <v>349</v>
      </c>
      <c r="O36" s="1" t="s">
        <v>131</v>
      </c>
      <c r="P36" s="1">
        <v>2001.0</v>
      </c>
      <c r="Q36" s="1" t="s">
        <v>357</v>
      </c>
      <c r="R36" s="1" t="s">
        <v>490</v>
      </c>
      <c r="S36" s="1" t="s">
        <v>357</v>
      </c>
      <c r="T36" s="1" t="s">
        <v>524</v>
      </c>
      <c r="U36" s="1" t="s">
        <v>71</v>
      </c>
      <c r="V36" s="1" t="s">
        <v>72</v>
      </c>
      <c r="W36" s="1" t="s">
        <v>31</v>
      </c>
      <c r="X36" s="1" t="s">
        <v>357</v>
      </c>
      <c r="Y36" s="1" t="s">
        <v>349</v>
      </c>
      <c r="Z36" s="1" t="s">
        <v>51</v>
      </c>
      <c r="AA36" s="1" t="s">
        <v>31</v>
      </c>
      <c r="AB36" s="1" t="s">
        <v>31</v>
      </c>
      <c r="AC36" s="1" t="s">
        <v>137</v>
      </c>
      <c r="AD36" s="1" t="s">
        <v>31</v>
      </c>
      <c r="AE36" s="5"/>
    </row>
    <row r="37" ht="14.25" customHeight="1">
      <c r="A37" s="1" t="s">
        <v>33</v>
      </c>
      <c r="B37" s="1">
        <v>1.1000327E7</v>
      </c>
      <c r="C37" s="1" t="str">
        <f>VLOOKUP(B37,Equipment!A$1:J$575,9,0)</f>
        <v>E</v>
      </c>
      <c r="D37" s="1" t="s">
        <v>531</v>
      </c>
      <c r="E37" s="1" t="s">
        <v>532</v>
      </c>
      <c r="F37" s="1" t="s">
        <v>533</v>
      </c>
      <c r="G37" s="1" t="s">
        <v>534</v>
      </c>
      <c r="H37" s="1" t="s">
        <v>357</v>
      </c>
      <c r="I37" s="1" t="s">
        <v>357</v>
      </c>
      <c r="J37" s="1" t="s">
        <v>120</v>
      </c>
      <c r="K37" s="1" t="s">
        <v>130</v>
      </c>
      <c r="L37" s="1">
        <v>1.0</v>
      </c>
      <c r="M37" s="1" t="s">
        <v>357</v>
      </c>
      <c r="N37" s="1" t="s">
        <v>120</v>
      </c>
      <c r="O37" s="1" t="s">
        <v>131</v>
      </c>
      <c r="P37" s="1">
        <v>2001.0</v>
      </c>
      <c r="Q37" s="1" t="s">
        <v>357</v>
      </c>
      <c r="R37" s="1" t="s">
        <v>130</v>
      </c>
      <c r="S37" s="1" t="s">
        <v>357</v>
      </c>
      <c r="T37" s="1" t="s">
        <v>130</v>
      </c>
      <c r="U37" s="1" t="s">
        <v>71</v>
      </c>
      <c r="V37" s="1" t="s">
        <v>72</v>
      </c>
      <c r="W37" s="1" t="s">
        <v>31</v>
      </c>
      <c r="X37" s="1" t="s">
        <v>357</v>
      </c>
      <c r="Y37" s="1" t="s">
        <v>120</v>
      </c>
      <c r="Z37" s="1" t="s">
        <v>51</v>
      </c>
      <c r="AA37" s="1" t="s">
        <v>31</v>
      </c>
      <c r="AB37" s="1" t="s">
        <v>31</v>
      </c>
      <c r="AC37" s="1" t="s">
        <v>538</v>
      </c>
      <c r="AD37" s="1" t="s">
        <v>31</v>
      </c>
      <c r="AE37" s="5"/>
    </row>
    <row r="38" ht="14.25" customHeight="1">
      <c r="A38" s="1" t="s">
        <v>33</v>
      </c>
      <c r="B38" s="1">
        <v>1.100038E7</v>
      </c>
      <c r="C38" s="1" t="str">
        <f>VLOOKUP(B38,Equipment!A$1:J$575,9,0)</f>
        <v>E</v>
      </c>
      <c r="D38" s="1" t="s">
        <v>541</v>
      </c>
      <c r="E38" s="1" t="s">
        <v>543</v>
      </c>
      <c r="F38" s="1" t="s">
        <v>545</v>
      </c>
      <c r="G38" s="1" t="s">
        <v>546</v>
      </c>
      <c r="H38" s="1" t="s">
        <v>547</v>
      </c>
      <c r="I38" s="1" t="s">
        <v>548</v>
      </c>
      <c r="J38" s="1" t="s">
        <v>549</v>
      </c>
      <c r="K38" s="1" t="s">
        <v>550</v>
      </c>
      <c r="L38" s="1">
        <v>48.04</v>
      </c>
      <c r="M38" s="1" t="s">
        <v>547</v>
      </c>
      <c r="N38" s="1" t="s">
        <v>549</v>
      </c>
      <c r="O38" s="1" t="s">
        <v>68</v>
      </c>
      <c r="P38" s="1">
        <v>1041.0</v>
      </c>
      <c r="Q38" s="1" t="s">
        <v>548</v>
      </c>
      <c r="R38" s="1" t="s">
        <v>550</v>
      </c>
      <c r="S38" s="1" t="s">
        <v>63</v>
      </c>
      <c r="T38" s="1" t="s">
        <v>551</v>
      </c>
      <c r="U38" s="1" t="s">
        <v>71</v>
      </c>
      <c r="V38" s="1" t="s">
        <v>72</v>
      </c>
      <c r="W38" s="1" t="s">
        <v>31</v>
      </c>
      <c r="X38" s="1" t="s">
        <v>31</v>
      </c>
      <c r="Y38" s="1" t="s">
        <v>73</v>
      </c>
      <c r="Z38" s="1" t="s">
        <v>51</v>
      </c>
      <c r="AA38" s="1" t="s">
        <v>31</v>
      </c>
      <c r="AB38" s="1" t="s">
        <v>31</v>
      </c>
      <c r="AC38" s="1" t="s">
        <v>74</v>
      </c>
      <c r="AD38" s="1" t="s">
        <v>31</v>
      </c>
      <c r="AE38" s="5"/>
    </row>
    <row r="39" ht="14.25" customHeight="1">
      <c r="A39" s="1" t="s">
        <v>33</v>
      </c>
      <c r="B39" s="1">
        <v>1.1000382E7</v>
      </c>
      <c r="C39" s="1" t="str">
        <f>VLOOKUP(B39,Equipment!A$1:J$575,9,0)</f>
        <v>E</v>
      </c>
      <c r="D39" s="1" t="s">
        <v>557</v>
      </c>
      <c r="E39" s="1" t="s">
        <v>558</v>
      </c>
      <c r="F39" s="1" t="s">
        <v>559</v>
      </c>
      <c r="G39" s="1" t="s">
        <v>560</v>
      </c>
      <c r="H39" s="1" t="s">
        <v>547</v>
      </c>
      <c r="I39" s="1" t="s">
        <v>547</v>
      </c>
      <c r="J39" s="1" t="s">
        <v>561</v>
      </c>
      <c r="K39" s="1" t="s">
        <v>562</v>
      </c>
      <c r="L39" s="1">
        <v>7.16</v>
      </c>
      <c r="M39" s="1" t="s">
        <v>547</v>
      </c>
      <c r="N39" s="1" t="s">
        <v>561</v>
      </c>
      <c r="O39" s="1" t="s">
        <v>68</v>
      </c>
      <c r="P39" s="1">
        <v>1041.0</v>
      </c>
      <c r="Q39" s="1" t="s">
        <v>547</v>
      </c>
      <c r="R39" s="1" t="s">
        <v>564</v>
      </c>
      <c r="S39" s="1" t="s">
        <v>63</v>
      </c>
      <c r="T39" s="1" t="s">
        <v>566</v>
      </c>
      <c r="U39" s="1" t="s">
        <v>71</v>
      </c>
      <c r="V39" s="1" t="s">
        <v>72</v>
      </c>
      <c r="W39" s="1" t="s">
        <v>31</v>
      </c>
      <c r="X39" s="1" t="s">
        <v>31</v>
      </c>
      <c r="Y39" s="1" t="s">
        <v>73</v>
      </c>
      <c r="Z39" s="1" t="s">
        <v>51</v>
      </c>
      <c r="AA39" s="1" t="s">
        <v>31</v>
      </c>
      <c r="AB39" s="1" t="s">
        <v>31</v>
      </c>
      <c r="AC39" s="1" t="s">
        <v>74</v>
      </c>
      <c r="AD39" s="1" t="s">
        <v>31</v>
      </c>
      <c r="AE39" s="5"/>
    </row>
    <row r="40" ht="14.25" customHeight="1">
      <c r="A40" s="1" t="s">
        <v>33</v>
      </c>
      <c r="B40" s="1">
        <v>1.1000384E7</v>
      </c>
      <c r="C40" s="1" t="str">
        <f>VLOOKUP(B40,Equipment!A$1:J$575,9,0)</f>
        <v>E</v>
      </c>
      <c r="D40" s="1" t="s">
        <v>573</v>
      </c>
      <c r="E40" s="1" t="s">
        <v>574</v>
      </c>
      <c r="F40" s="1" t="s">
        <v>575</v>
      </c>
      <c r="G40" s="1" t="s">
        <v>576</v>
      </c>
      <c r="H40" s="1" t="s">
        <v>547</v>
      </c>
      <c r="I40" s="1" t="s">
        <v>547</v>
      </c>
      <c r="J40" s="1" t="s">
        <v>579</v>
      </c>
      <c r="K40" s="1" t="s">
        <v>581</v>
      </c>
      <c r="L40" s="1">
        <v>0.83</v>
      </c>
      <c r="M40" s="1" t="s">
        <v>547</v>
      </c>
      <c r="N40" s="1" t="s">
        <v>583</v>
      </c>
      <c r="O40" s="1" t="s">
        <v>68</v>
      </c>
      <c r="P40" s="1">
        <v>1041.0</v>
      </c>
      <c r="Q40" s="1" t="s">
        <v>547</v>
      </c>
      <c r="R40" s="1" t="s">
        <v>581</v>
      </c>
      <c r="S40" s="1" t="s">
        <v>63</v>
      </c>
      <c r="T40" s="1" t="s">
        <v>584</v>
      </c>
      <c r="U40" s="1" t="s">
        <v>71</v>
      </c>
      <c r="V40" s="1" t="s">
        <v>72</v>
      </c>
      <c r="W40" s="1" t="s">
        <v>31</v>
      </c>
      <c r="X40" s="1" t="s">
        <v>31</v>
      </c>
      <c r="Y40" s="1" t="s">
        <v>73</v>
      </c>
      <c r="Z40" s="1" t="s">
        <v>51</v>
      </c>
      <c r="AA40" s="1" t="s">
        <v>31</v>
      </c>
      <c r="AB40" s="1" t="s">
        <v>31</v>
      </c>
      <c r="AC40" s="1" t="s">
        <v>74</v>
      </c>
      <c r="AD40" s="1" t="s">
        <v>31</v>
      </c>
      <c r="AE40" s="5"/>
    </row>
    <row r="41" ht="14.25" customHeight="1">
      <c r="A41" s="1" t="s">
        <v>33</v>
      </c>
      <c r="B41" s="1">
        <v>1.1000384E7</v>
      </c>
      <c r="C41" s="1" t="str">
        <f>VLOOKUP(B41,Equipment!A$1:J$575,9,0)</f>
        <v>E</v>
      </c>
      <c r="D41" s="1" t="s">
        <v>590</v>
      </c>
      <c r="E41" s="1" t="s">
        <v>591</v>
      </c>
      <c r="F41" s="1" t="s">
        <v>575</v>
      </c>
      <c r="G41" s="1" t="s">
        <v>593</v>
      </c>
      <c r="H41" s="1" t="s">
        <v>547</v>
      </c>
      <c r="I41" s="1" t="s">
        <v>547</v>
      </c>
      <c r="J41" s="1" t="s">
        <v>596</v>
      </c>
      <c r="K41" s="1" t="s">
        <v>597</v>
      </c>
      <c r="L41" s="1">
        <v>0.33</v>
      </c>
      <c r="M41" s="1" t="s">
        <v>547</v>
      </c>
      <c r="N41" s="1" t="s">
        <v>596</v>
      </c>
      <c r="O41" s="1" t="s">
        <v>68</v>
      </c>
      <c r="P41" s="1">
        <v>1041.0</v>
      </c>
      <c r="Q41" s="1" t="s">
        <v>547</v>
      </c>
      <c r="R41" s="1" t="s">
        <v>597</v>
      </c>
      <c r="S41" s="1" t="s">
        <v>63</v>
      </c>
      <c r="T41" s="1" t="s">
        <v>598</v>
      </c>
      <c r="U41" s="1" t="s">
        <v>71</v>
      </c>
      <c r="V41" s="1" t="s">
        <v>72</v>
      </c>
      <c r="W41" s="1" t="s">
        <v>31</v>
      </c>
      <c r="X41" s="1" t="s">
        <v>31</v>
      </c>
      <c r="Y41" s="1" t="s">
        <v>73</v>
      </c>
      <c r="Z41" s="1" t="s">
        <v>51</v>
      </c>
      <c r="AA41" s="1" t="s">
        <v>31</v>
      </c>
      <c r="AB41" s="1" t="s">
        <v>31</v>
      </c>
      <c r="AC41" s="1" t="s">
        <v>74</v>
      </c>
      <c r="AD41" s="1" t="s">
        <v>31</v>
      </c>
      <c r="AE41" s="5"/>
    </row>
    <row r="42" ht="14.25" customHeight="1">
      <c r="A42" s="1" t="s">
        <v>33</v>
      </c>
      <c r="B42" s="1">
        <v>1.100039E7</v>
      </c>
      <c r="C42" s="1" t="str">
        <f>VLOOKUP(B42,Equipment!A$1:J$575,9,0)</f>
        <v>E</v>
      </c>
      <c r="D42" s="1" t="s">
        <v>605</v>
      </c>
      <c r="E42" s="1" t="s">
        <v>607</v>
      </c>
      <c r="F42" s="1" t="s">
        <v>608</v>
      </c>
      <c r="G42" s="1" t="s">
        <v>609</v>
      </c>
      <c r="H42" s="1" t="s">
        <v>547</v>
      </c>
      <c r="I42" s="1" t="s">
        <v>547</v>
      </c>
      <c r="J42" s="1" t="s">
        <v>610</v>
      </c>
      <c r="K42" s="1" t="s">
        <v>611</v>
      </c>
      <c r="L42" s="1">
        <v>0.5</v>
      </c>
      <c r="M42" s="1" t="s">
        <v>547</v>
      </c>
      <c r="N42" s="1" t="s">
        <v>610</v>
      </c>
      <c r="O42" s="1" t="s">
        <v>68</v>
      </c>
      <c r="P42" s="1">
        <v>1041.0</v>
      </c>
      <c r="Q42" s="1" t="s">
        <v>547</v>
      </c>
      <c r="R42" s="1" t="s">
        <v>611</v>
      </c>
      <c r="S42" s="1" t="s">
        <v>63</v>
      </c>
      <c r="T42" s="1" t="s">
        <v>612</v>
      </c>
      <c r="U42" s="1" t="s">
        <v>71</v>
      </c>
      <c r="V42" s="1" t="s">
        <v>72</v>
      </c>
      <c r="W42" s="1" t="s">
        <v>31</v>
      </c>
      <c r="X42" s="1" t="s">
        <v>31</v>
      </c>
      <c r="Y42" s="1" t="s">
        <v>73</v>
      </c>
      <c r="Z42" s="1" t="s">
        <v>51</v>
      </c>
      <c r="AA42" s="1" t="s">
        <v>31</v>
      </c>
      <c r="AB42" s="1" t="s">
        <v>31</v>
      </c>
      <c r="AC42" s="1" t="s">
        <v>74</v>
      </c>
      <c r="AD42" s="1" t="s">
        <v>31</v>
      </c>
      <c r="AE42" s="5"/>
    </row>
    <row r="43" ht="14.25" customHeight="1">
      <c r="A43" s="1" t="s">
        <v>33</v>
      </c>
      <c r="B43" s="1">
        <v>1.1000449E7</v>
      </c>
      <c r="C43" s="1" t="str">
        <f>VLOOKUP(B43,Equipment!A$1:J$575,9,0)</f>
        <v>E</v>
      </c>
      <c r="D43" s="1" t="s">
        <v>616</v>
      </c>
      <c r="E43" s="1" t="s">
        <v>617</v>
      </c>
      <c r="F43" s="1" t="s">
        <v>160</v>
      </c>
      <c r="G43" s="1" t="s">
        <v>618</v>
      </c>
      <c r="H43" s="1" t="s">
        <v>547</v>
      </c>
      <c r="I43" s="1" t="s">
        <v>547</v>
      </c>
      <c r="J43" s="1" t="s">
        <v>619</v>
      </c>
      <c r="K43" s="1" t="s">
        <v>620</v>
      </c>
      <c r="L43" s="1">
        <v>0.37</v>
      </c>
      <c r="M43" s="1" t="s">
        <v>547</v>
      </c>
      <c r="N43" s="1" t="s">
        <v>619</v>
      </c>
      <c r="O43" s="1" t="s">
        <v>68</v>
      </c>
      <c r="P43" s="1">
        <v>1041.0</v>
      </c>
      <c r="Q43" s="1" t="s">
        <v>547</v>
      </c>
      <c r="R43" s="1" t="s">
        <v>620</v>
      </c>
      <c r="S43" s="1" t="s">
        <v>357</v>
      </c>
      <c r="T43" s="1" t="s">
        <v>623</v>
      </c>
      <c r="U43" s="1" t="s">
        <v>71</v>
      </c>
      <c r="V43" s="1" t="s">
        <v>72</v>
      </c>
      <c r="W43" s="1" t="s">
        <v>31</v>
      </c>
      <c r="X43" s="1" t="s">
        <v>31</v>
      </c>
      <c r="Y43" s="1" t="s">
        <v>73</v>
      </c>
      <c r="Z43" s="1" t="s">
        <v>51</v>
      </c>
      <c r="AA43" s="1" t="s">
        <v>31</v>
      </c>
      <c r="AB43" s="1" t="s">
        <v>31</v>
      </c>
      <c r="AC43" s="1" t="s">
        <v>74</v>
      </c>
      <c r="AD43" s="1" t="s">
        <v>31</v>
      </c>
      <c r="AE43" s="5"/>
    </row>
    <row r="44" ht="14.25" customHeight="1">
      <c r="A44" s="1" t="s">
        <v>33</v>
      </c>
      <c r="B44" s="1">
        <v>1.1000453E7</v>
      </c>
      <c r="C44" s="1" t="str">
        <f>VLOOKUP(B44,Equipment!A$1:J$575,9,0)</f>
        <v>E</v>
      </c>
      <c r="D44" s="1" t="s">
        <v>626</v>
      </c>
      <c r="E44" s="1" t="s">
        <v>627</v>
      </c>
      <c r="F44" s="1" t="s">
        <v>283</v>
      </c>
      <c r="G44" s="1" t="s">
        <v>628</v>
      </c>
      <c r="H44" s="1" t="s">
        <v>547</v>
      </c>
      <c r="I44" s="1" t="s">
        <v>547</v>
      </c>
      <c r="J44" s="1" t="s">
        <v>629</v>
      </c>
      <c r="K44" s="1" t="s">
        <v>630</v>
      </c>
      <c r="L44" s="1">
        <v>0.81</v>
      </c>
      <c r="M44" s="1" t="s">
        <v>547</v>
      </c>
      <c r="N44" s="1" t="s">
        <v>629</v>
      </c>
      <c r="O44" s="1" t="s">
        <v>68</v>
      </c>
      <c r="P44" s="1">
        <v>1041.0</v>
      </c>
      <c r="Q44" s="1" t="s">
        <v>547</v>
      </c>
      <c r="R44" s="1" t="s">
        <v>630</v>
      </c>
      <c r="S44" s="1" t="s">
        <v>357</v>
      </c>
      <c r="T44" s="1" t="s">
        <v>634</v>
      </c>
      <c r="U44" s="1" t="s">
        <v>71</v>
      </c>
      <c r="V44" s="1" t="s">
        <v>72</v>
      </c>
      <c r="W44" s="1" t="s">
        <v>31</v>
      </c>
      <c r="X44" s="1" t="s">
        <v>31</v>
      </c>
      <c r="Y44" s="1" t="s">
        <v>73</v>
      </c>
      <c r="Z44" s="1" t="s">
        <v>51</v>
      </c>
      <c r="AA44" s="1" t="s">
        <v>31</v>
      </c>
      <c r="AB44" s="1" t="s">
        <v>31</v>
      </c>
      <c r="AC44" s="1" t="s">
        <v>74</v>
      </c>
      <c r="AD44" s="1" t="s">
        <v>31</v>
      </c>
      <c r="AE44" s="5"/>
    </row>
    <row r="45" ht="14.25" customHeight="1">
      <c r="A45" s="1" t="s">
        <v>33</v>
      </c>
      <c r="B45" s="1">
        <v>1.1000454E7</v>
      </c>
      <c r="C45" s="1" t="str">
        <f>VLOOKUP(B45,Equipment!A$1:J$575,9,0)</f>
        <v>E</v>
      </c>
      <c r="D45" s="1" t="s">
        <v>639</v>
      </c>
      <c r="E45" s="1" t="s">
        <v>640</v>
      </c>
      <c r="F45" s="1" t="s">
        <v>294</v>
      </c>
      <c r="G45" s="1" t="s">
        <v>641</v>
      </c>
      <c r="H45" s="1" t="s">
        <v>547</v>
      </c>
      <c r="I45" s="1" t="s">
        <v>547</v>
      </c>
      <c r="J45" s="1" t="s">
        <v>642</v>
      </c>
      <c r="K45" s="1" t="s">
        <v>643</v>
      </c>
      <c r="L45" s="1">
        <v>0.76</v>
      </c>
      <c r="M45" s="1" t="s">
        <v>547</v>
      </c>
      <c r="N45" s="1" t="s">
        <v>642</v>
      </c>
      <c r="O45" s="1" t="s">
        <v>68</v>
      </c>
      <c r="P45" s="1">
        <v>1041.0</v>
      </c>
      <c r="Q45" s="1" t="s">
        <v>547</v>
      </c>
      <c r="R45" s="1" t="s">
        <v>643</v>
      </c>
      <c r="S45" s="1" t="s">
        <v>357</v>
      </c>
      <c r="T45" s="1" t="s">
        <v>645</v>
      </c>
      <c r="U45" s="1" t="s">
        <v>71</v>
      </c>
      <c r="V45" s="1" t="s">
        <v>72</v>
      </c>
      <c r="W45" s="1" t="s">
        <v>31</v>
      </c>
      <c r="X45" s="1" t="s">
        <v>31</v>
      </c>
      <c r="Y45" s="1" t="s">
        <v>73</v>
      </c>
      <c r="Z45" s="1" t="s">
        <v>51</v>
      </c>
      <c r="AA45" s="1" t="s">
        <v>31</v>
      </c>
      <c r="AB45" s="1" t="s">
        <v>31</v>
      </c>
      <c r="AC45" s="1" t="s">
        <v>74</v>
      </c>
      <c r="AD45" s="1" t="s">
        <v>31</v>
      </c>
      <c r="AE45" s="5"/>
    </row>
    <row r="46" ht="14.25" customHeight="1">
      <c r="A46" s="1" t="s">
        <v>33</v>
      </c>
      <c r="B46" s="1">
        <v>1.1001303E7</v>
      </c>
      <c r="C46" s="1" t="str">
        <f>VLOOKUP(B46,Equipment!A$1:J$575,9,0)</f>
        <v>E</v>
      </c>
      <c r="D46" s="1" t="s">
        <v>647</v>
      </c>
      <c r="E46" s="1" t="s">
        <v>648</v>
      </c>
      <c r="F46" s="1" t="s">
        <v>649</v>
      </c>
      <c r="G46" s="1" t="s">
        <v>650</v>
      </c>
      <c r="H46" s="1" t="s">
        <v>547</v>
      </c>
      <c r="I46" s="1" t="s">
        <v>547</v>
      </c>
      <c r="J46" s="1" t="s">
        <v>651</v>
      </c>
      <c r="K46" s="1" t="s">
        <v>653</v>
      </c>
      <c r="L46" s="1">
        <v>2.68</v>
      </c>
      <c r="M46" s="1" t="s">
        <v>547</v>
      </c>
      <c r="N46" s="1" t="s">
        <v>651</v>
      </c>
      <c r="O46" s="1" t="s">
        <v>121</v>
      </c>
      <c r="P46" s="1">
        <v>1041.0</v>
      </c>
      <c r="Q46" s="1" t="s">
        <v>547</v>
      </c>
      <c r="R46" s="1" t="s">
        <v>653</v>
      </c>
      <c r="S46" s="1" t="s">
        <v>357</v>
      </c>
      <c r="T46" s="1" t="s">
        <v>655</v>
      </c>
      <c r="U46" s="1" t="s">
        <v>71</v>
      </c>
      <c r="V46" s="1" t="s">
        <v>72</v>
      </c>
      <c r="W46" s="1" t="s">
        <v>31</v>
      </c>
      <c r="X46" s="1" t="s">
        <v>547</v>
      </c>
      <c r="Y46" s="1" t="s">
        <v>655</v>
      </c>
      <c r="Z46" s="1" t="s">
        <v>51</v>
      </c>
      <c r="AA46" s="1" t="s">
        <v>31</v>
      </c>
      <c r="AB46" s="1" t="s">
        <v>31</v>
      </c>
      <c r="AC46" s="1" t="s">
        <v>656</v>
      </c>
      <c r="AD46" s="1" t="s">
        <v>31</v>
      </c>
      <c r="AE46" s="5"/>
    </row>
    <row r="47" ht="14.25" customHeight="1">
      <c r="A47" s="1" t="s">
        <v>33</v>
      </c>
      <c r="B47" s="1">
        <v>1.1000302E7</v>
      </c>
      <c r="C47" s="1" t="str">
        <f>VLOOKUP(B47,Equipment!A$1:J$575,9,0)</f>
        <v>E</v>
      </c>
      <c r="D47" s="1" t="s">
        <v>659</v>
      </c>
      <c r="E47" s="1" t="s">
        <v>660</v>
      </c>
      <c r="F47" s="1" t="s">
        <v>337</v>
      </c>
      <c r="G47" s="1" t="s">
        <v>338</v>
      </c>
      <c r="H47" s="1" t="s">
        <v>547</v>
      </c>
      <c r="I47" s="1" t="s">
        <v>547</v>
      </c>
      <c r="J47" s="1" t="s">
        <v>662</v>
      </c>
      <c r="K47" s="1" t="s">
        <v>663</v>
      </c>
      <c r="L47" s="1">
        <v>3.0</v>
      </c>
      <c r="M47" s="1" t="s">
        <v>547</v>
      </c>
      <c r="N47" s="1" t="s">
        <v>662</v>
      </c>
      <c r="O47" s="1" t="s">
        <v>131</v>
      </c>
      <c r="P47" s="1">
        <v>2001.0</v>
      </c>
      <c r="Q47" s="1" t="s">
        <v>547</v>
      </c>
      <c r="R47" s="1" t="s">
        <v>663</v>
      </c>
      <c r="S47" s="1" t="s">
        <v>547</v>
      </c>
      <c r="T47" s="1" t="s">
        <v>663</v>
      </c>
      <c r="U47" s="1" t="s">
        <v>71</v>
      </c>
      <c r="V47" s="1" t="s">
        <v>72</v>
      </c>
      <c r="W47" s="1" t="s">
        <v>31</v>
      </c>
      <c r="X47" s="1" t="s">
        <v>547</v>
      </c>
      <c r="Y47" s="1" t="s">
        <v>662</v>
      </c>
      <c r="Z47" s="1" t="s">
        <v>51</v>
      </c>
      <c r="AA47" s="1" t="s">
        <v>31</v>
      </c>
      <c r="AB47" s="1" t="s">
        <v>31</v>
      </c>
      <c r="AC47" s="1" t="s">
        <v>137</v>
      </c>
      <c r="AD47" s="1" t="s">
        <v>31</v>
      </c>
      <c r="AE47" s="5"/>
    </row>
    <row r="48" ht="14.25" customHeight="1">
      <c r="A48" s="1" t="s">
        <v>33</v>
      </c>
      <c r="B48" s="1">
        <v>1.1000322E7</v>
      </c>
      <c r="C48" s="1" t="str">
        <f>VLOOKUP(B48,Equipment!A$1:J$575,9,0)</f>
        <v>E</v>
      </c>
      <c r="D48" s="1" t="s">
        <v>670</v>
      </c>
      <c r="E48" s="1" t="s">
        <v>671</v>
      </c>
      <c r="F48" s="1" t="s">
        <v>127</v>
      </c>
      <c r="G48" s="1" t="s">
        <v>128</v>
      </c>
      <c r="H48" s="1" t="s">
        <v>547</v>
      </c>
      <c r="I48" s="1" t="s">
        <v>547</v>
      </c>
      <c r="J48" s="1" t="s">
        <v>672</v>
      </c>
      <c r="K48" s="1" t="s">
        <v>673</v>
      </c>
      <c r="L48" s="1">
        <v>1.0</v>
      </c>
      <c r="M48" s="1" t="s">
        <v>547</v>
      </c>
      <c r="N48" s="1" t="s">
        <v>672</v>
      </c>
      <c r="O48" s="1" t="s">
        <v>131</v>
      </c>
      <c r="P48" s="1">
        <v>2001.0</v>
      </c>
      <c r="Q48" s="1" t="s">
        <v>547</v>
      </c>
      <c r="R48" s="1" t="s">
        <v>673</v>
      </c>
      <c r="S48" s="1" t="s">
        <v>31</v>
      </c>
      <c r="T48" s="1" t="s">
        <v>73</v>
      </c>
      <c r="U48" s="1" t="s">
        <v>71</v>
      </c>
      <c r="V48" s="1" t="s">
        <v>72</v>
      </c>
      <c r="W48" s="1" t="s">
        <v>31</v>
      </c>
      <c r="X48" s="1" t="s">
        <v>547</v>
      </c>
      <c r="Y48" s="1" t="s">
        <v>675</v>
      </c>
      <c r="Z48" s="1" t="s">
        <v>51</v>
      </c>
      <c r="AA48" s="1" t="s">
        <v>31</v>
      </c>
      <c r="AB48" s="1" t="s">
        <v>31</v>
      </c>
      <c r="AC48" s="1" t="s">
        <v>137</v>
      </c>
      <c r="AD48" s="1" t="s">
        <v>31</v>
      </c>
      <c r="AE48" s="5"/>
    </row>
    <row r="49" ht="14.25" customHeight="1">
      <c r="A49" s="1" t="s">
        <v>33</v>
      </c>
      <c r="B49" s="1">
        <v>1.1000325E7</v>
      </c>
      <c r="C49" s="1" t="str">
        <f>VLOOKUP(B49,Equipment!A$1:J$575,9,0)</f>
        <v>E</v>
      </c>
      <c r="D49" s="1" t="s">
        <v>678</v>
      </c>
      <c r="E49" s="1" t="s">
        <v>679</v>
      </c>
      <c r="F49" s="1" t="s">
        <v>681</v>
      </c>
      <c r="G49" s="1" t="s">
        <v>682</v>
      </c>
      <c r="H49" s="1" t="s">
        <v>547</v>
      </c>
      <c r="I49" s="1" t="s">
        <v>547</v>
      </c>
      <c r="J49" s="1" t="s">
        <v>684</v>
      </c>
      <c r="K49" s="1" t="s">
        <v>685</v>
      </c>
      <c r="L49" s="1">
        <v>7.51</v>
      </c>
      <c r="M49" s="1" t="s">
        <v>547</v>
      </c>
      <c r="N49" s="1" t="s">
        <v>684</v>
      </c>
      <c r="O49" s="1" t="s">
        <v>131</v>
      </c>
      <c r="P49" s="1">
        <v>2001.0</v>
      </c>
      <c r="Q49" s="1" t="s">
        <v>547</v>
      </c>
      <c r="R49" s="1" t="s">
        <v>686</v>
      </c>
      <c r="S49" s="1" t="s">
        <v>547</v>
      </c>
      <c r="T49" s="1" t="s">
        <v>687</v>
      </c>
      <c r="U49" s="1" t="s">
        <v>71</v>
      </c>
      <c r="V49" s="1" t="s">
        <v>72</v>
      </c>
      <c r="W49" s="1" t="s">
        <v>31</v>
      </c>
      <c r="X49" s="1" t="s">
        <v>547</v>
      </c>
      <c r="Y49" s="1" t="s">
        <v>684</v>
      </c>
      <c r="Z49" s="1" t="s">
        <v>51</v>
      </c>
      <c r="AA49" s="1" t="s">
        <v>31</v>
      </c>
      <c r="AB49" s="1" t="s">
        <v>31</v>
      </c>
      <c r="AC49" s="1" t="s">
        <v>137</v>
      </c>
      <c r="AD49" s="1" t="s">
        <v>31</v>
      </c>
      <c r="AE49" s="5"/>
    </row>
    <row r="50" ht="14.25" customHeight="1">
      <c r="A50" s="1" t="s">
        <v>33</v>
      </c>
      <c r="B50" s="1">
        <v>1.1000327E7</v>
      </c>
      <c r="C50" s="1" t="str">
        <f>VLOOKUP(B50,Equipment!A$1:J$575,9,0)</f>
        <v>E</v>
      </c>
      <c r="D50" s="1" t="s">
        <v>690</v>
      </c>
      <c r="E50" s="1" t="s">
        <v>691</v>
      </c>
      <c r="F50" s="1" t="s">
        <v>533</v>
      </c>
      <c r="G50" s="1" t="s">
        <v>692</v>
      </c>
      <c r="H50" s="1" t="s">
        <v>547</v>
      </c>
      <c r="I50" s="1" t="s">
        <v>547</v>
      </c>
      <c r="J50" s="1" t="s">
        <v>693</v>
      </c>
      <c r="K50" s="1" t="s">
        <v>694</v>
      </c>
      <c r="L50" s="1">
        <v>0.99</v>
      </c>
      <c r="M50" s="1" t="s">
        <v>547</v>
      </c>
      <c r="N50" s="1" t="s">
        <v>693</v>
      </c>
      <c r="O50" s="1" t="s">
        <v>131</v>
      </c>
      <c r="P50" s="1">
        <v>2001.0</v>
      </c>
      <c r="Q50" s="1" t="s">
        <v>547</v>
      </c>
      <c r="R50" s="1" t="s">
        <v>697</v>
      </c>
      <c r="S50" s="1" t="s">
        <v>547</v>
      </c>
      <c r="T50" s="1" t="s">
        <v>699</v>
      </c>
      <c r="U50" s="1" t="s">
        <v>71</v>
      </c>
      <c r="V50" s="1" t="s">
        <v>72</v>
      </c>
      <c r="W50" s="1" t="s">
        <v>31</v>
      </c>
      <c r="X50" s="1" t="s">
        <v>547</v>
      </c>
      <c r="Y50" s="1" t="s">
        <v>693</v>
      </c>
      <c r="Z50" s="1" t="s">
        <v>51</v>
      </c>
      <c r="AA50" s="1" t="s">
        <v>31</v>
      </c>
      <c r="AB50" s="1" t="s">
        <v>31</v>
      </c>
      <c r="AC50" s="1" t="s">
        <v>538</v>
      </c>
      <c r="AD50" s="1" t="s">
        <v>31</v>
      </c>
      <c r="AE50" s="5"/>
    </row>
    <row r="51" ht="14.25" customHeight="1">
      <c r="A51" s="1" t="s">
        <v>33</v>
      </c>
      <c r="B51" s="1">
        <v>1.1001252E7</v>
      </c>
      <c r="C51" s="1" t="str">
        <f>VLOOKUP(B51,Equipment!A$1:J$575,9,0)</f>
        <v>E</v>
      </c>
      <c r="D51" s="1" t="s">
        <v>715</v>
      </c>
      <c r="E51" s="1" t="s">
        <v>717</v>
      </c>
      <c r="F51" s="1" t="s">
        <v>718</v>
      </c>
      <c r="G51" s="1" t="s">
        <v>719</v>
      </c>
      <c r="H51" s="1" t="s">
        <v>547</v>
      </c>
      <c r="I51" s="1" t="s">
        <v>547</v>
      </c>
      <c r="J51" s="1" t="s">
        <v>721</v>
      </c>
      <c r="K51" s="1" t="s">
        <v>500</v>
      </c>
      <c r="L51" s="1">
        <v>3.0</v>
      </c>
      <c r="M51" s="1" t="s">
        <v>547</v>
      </c>
      <c r="N51" s="1" t="s">
        <v>721</v>
      </c>
      <c r="O51" s="1" t="s">
        <v>491</v>
      </c>
      <c r="P51" s="1">
        <v>2001.0</v>
      </c>
      <c r="Q51" s="1" t="s">
        <v>547</v>
      </c>
      <c r="R51" s="1" t="s">
        <v>500</v>
      </c>
      <c r="S51" s="1" t="s">
        <v>31</v>
      </c>
      <c r="T51" s="1" t="s">
        <v>73</v>
      </c>
      <c r="U51" s="1" t="s">
        <v>71</v>
      </c>
      <c r="V51" s="1" t="s">
        <v>72</v>
      </c>
      <c r="W51" s="1" t="s">
        <v>31</v>
      </c>
      <c r="X51" s="1" t="s">
        <v>547</v>
      </c>
      <c r="Y51" s="1" t="s">
        <v>724</v>
      </c>
      <c r="Z51" s="1" t="s">
        <v>51</v>
      </c>
      <c r="AA51" s="1" t="s">
        <v>31</v>
      </c>
      <c r="AB51" s="1" t="s">
        <v>31</v>
      </c>
      <c r="AC51" s="1" t="s">
        <v>31</v>
      </c>
      <c r="AD51" s="1" t="s">
        <v>31</v>
      </c>
      <c r="AE51" s="5"/>
    </row>
    <row r="52" ht="14.25" customHeight="1">
      <c r="A52" s="1" t="s">
        <v>33</v>
      </c>
      <c r="B52" s="1">
        <v>1.1000379E7</v>
      </c>
      <c r="C52" s="1" t="str">
        <f>VLOOKUP(B52,Equipment!A$1:J$575,9,0)</f>
        <v>E</v>
      </c>
      <c r="D52" s="1" t="s">
        <v>727</v>
      </c>
      <c r="E52" s="1" t="s">
        <v>728</v>
      </c>
      <c r="F52" s="1" t="s">
        <v>386</v>
      </c>
      <c r="G52" s="1" t="s">
        <v>729</v>
      </c>
      <c r="H52" s="1" t="s">
        <v>730</v>
      </c>
      <c r="I52" s="1" t="s">
        <v>730</v>
      </c>
      <c r="J52" s="1" t="s">
        <v>733</v>
      </c>
      <c r="K52" s="1" t="s">
        <v>734</v>
      </c>
      <c r="L52" s="1">
        <v>0.84</v>
      </c>
      <c r="M52" s="1" t="s">
        <v>730</v>
      </c>
      <c r="N52" s="1" t="s">
        <v>733</v>
      </c>
      <c r="O52" s="1" t="s">
        <v>68</v>
      </c>
      <c r="P52" s="1">
        <v>1041.0</v>
      </c>
      <c r="Q52" s="1" t="s">
        <v>730</v>
      </c>
      <c r="R52" s="1" t="s">
        <v>734</v>
      </c>
      <c r="S52" s="1" t="s">
        <v>162</v>
      </c>
      <c r="T52" s="1" t="s">
        <v>738</v>
      </c>
      <c r="U52" s="1" t="s">
        <v>71</v>
      </c>
      <c r="V52" s="1" t="s">
        <v>72</v>
      </c>
      <c r="W52" s="1" t="s">
        <v>31</v>
      </c>
      <c r="X52" s="1" t="s">
        <v>31</v>
      </c>
      <c r="Y52" s="1" t="s">
        <v>73</v>
      </c>
      <c r="Z52" s="1" t="s">
        <v>51</v>
      </c>
      <c r="AA52" s="1" t="s">
        <v>31</v>
      </c>
      <c r="AB52" s="1" t="s">
        <v>31</v>
      </c>
      <c r="AC52" s="1" t="s">
        <v>74</v>
      </c>
      <c r="AD52" s="1" t="s">
        <v>31</v>
      </c>
      <c r="AE52" s="5"/>
    </row>
    <row r="53" ht="14.25" customHeight="1">
      <c r="A53" s="1" t="s">
        <v>33</v>
      </c>
      <c r="B53" s="1">
        <v>1.1000382E7</v>
      </c>
      <c r="C53" s="1" t="str">
        <f>VLOOKUP(B53,Equipment!A$1:J$575,9,0)</f>
        <v>E</v>
      </c>
      <c r="D53" s="1" t="s">
        <v>751</v>
      </c>
      <c r="E53" s="1" t="s">
        <v>752</v>
      </c>
      <c r="F53" s="1" t="s">
        <v>559</v>
      </c>
      <c r="G53" s="1" t="s">
        <v>753</v>
      </c>
      <c r="H53" s="1" t="s">
        <v>730</v>
      </c>
      <c r="I53" s="1" t="s">
        <v>547</v>
      </c>
      <c r="J53" s="1" t="s">
        <v>754</v>
      </c>
      <c r="K53" s="1" t="s">
        <v>755</v>
      </c>
      <c r="L53" s="1">
        <v>27.49</v>
      </c>
      <c r="M53" s="1" t="s">
        <v>730</v>
      </c>
      <c r="N53" s="1" t="s">
        <v>756</v>
      </c>
      <c r="O53" s="1" t="s">
        <v>68</v>
      </c>
      <c r="P53" s="1">
        <v>1041.0</v>
      </c>
      <c r="Q53" s="1" t="s">
        <v>547</v>
      </c>
      <c r="R53" s="1" t="s">
        <v>755</v>
      </c>
      <c r="S53" s="1" t="s">
        <v>162</v>
      </c>
      <c r="T53" s="1" t="s">
        <v>758</v>
      </c>
      <c r="U53" s="1" t="s">
        <v>71</v>
      </c>
      <c r="V53" s="1" t="s">
        <v>72</v>
      </c>
      <c r="W53" s="1" t="s">
        <v>31</v>
      </c>
      <c r="X53" s="1" t="s">
        <v>730</v>
      </c>
      <c r="Y53" s="1" t="s">
        <v>758</v>
      </c>
      <c r="Z53" s="1" t="s">
        <v>51</v>
      </c>
      <c r="AA53" s="1" t="s">
        <v>31</v>
      </c>
      <c r="AB53" s="1" t="s">
        <v>31</v>
      </c>
      <c r="AC53" s="1" t="s">
        <v>74</v>
      </c>
      <c r="AD53" s="1" t="s">
        <v>31</v>
      </c>
      <c r="AE53" s="5"/>
    </row>
    <row r="54" ht="14.25" customHeight="1">
      <c r="A54" s="1" t="s">
        <v>33</v>
      </c>
      <c r="B54" s="1">
        <v>1.1000386E7</v>
      </c>
      <c r="C54" s="1" t="str">
        <f>VLOOKUP(B54,Equipment!A$1:J$575,9,0)</f>
        <v>E</v>
      </c>
      <c r="D54" s="1" t="s">
        <v>769</v>
      </c>
      <c r="E54" s="1" t="s">
        <v>770</v>
      </c>
      <c r="F54" s="1" t="s">
        <v>415</v>
      </c>
      <c r="G54" s="1" t="s">
        <v>771</v>
      </c>
      <c r="H54" s="1" t="s">
        <v>730</v>
      </c>
      <c r="I54" s="1" t="s">
        <v>730</v>
      </c>
      <c r="J54" s="1" t="s">
        <v>772</v>
      </c>
      <c r="K54" s="1" t="s">
        <v>773</v>
      </c>
      <c r="L54" s="1">
        <v>0.17</v>
      </c>
      <c r="M54" s="1" t="s">
        <v>730</v>
      </c>
      <c r="N54" s="1" t="s">
        <v>775</v>
      </c>
      <c r="O54" s="1" t="s">
        <v>68</v>
      </c>
      <c r="P54" s="1">
        <v>1041.0</v>
      </c>
      <c r="Q54" s="1" t="s">
        <v>730</v>
      </c>
      <c r="R54" s="1" t="s">
        <v>773</v>
      </c>
      <c r="S54" s="1" t="s">
        <v>162</v>
      </c>
      <c r="T54" s="1" t="s">
        <v>780</v>
      </c>
      <c r="U54" s="1" t="s">
        <v>71</v>
      </c>
      <c r="V54" s="1" t="s">
        <v>72</v>
      </c>
      <c r="W54" s="1" t="s">
        <v>31</v>
      </c>
      <c r="X54" s="1" t="s">
        <v>31</v>
      </c>
      <c r="Y54" s="1" t="s">
        <v>73</v>
      </c>
      <c r="Z54" s="1" t="s">
        <v>51</v>
      </c>
      <c r="AA54" s="1" t="s">
        <v>31</v>
      </c>
      <c r="AB54" s="1" t="s">
        <v>31</v>
      </c>
      <c r="AC54" s="1" t="s">
        <v>74</v>
      </c>
      <c r="AD54" s="1" t="s">
        <v>31</v>
      </c>
      <c r="AE54" s="5"/>
    </row>
    <row r="55" ht="14.25" customHeight="1">
      <c r="A55" s="1" t="s">
        <v>33</v>
      </c>
      <c r="B55" s="1">
        <v>1.1000386E7</v>
      </c>
      <c r="C55" s="1" t="str">
        <f>VLOOKUP(B55,Equipment!A$1:J$575,9,0)</f>
        <v>E</v>
      </c>
      <c r="D55" s="1" t="s">
        <v>786</v>
      </c>
      <c r="E55" s="1" t="s">
        <v>787</v>
      </c>
      <c r="F55" s="1" t="s">
        <v>415</v>
      </c>
      <c r="G55" s="1" t="s">
        <v>788</v>
      </c>
      <c r="H55" s="1" t="s">
        <v>730</v>
      </c>
      <c r="I55" s="1" t="s">
        <v>730</v>
      </c>
      <c r="J55" s="1" t="s">
        <v>772</v>
      </c>
      <c r="K55" s="1" t="s">
        <v>790</v>
      </c>
      <c r="L55" s="1">
        <v>0.17</v>
      </c>
      <c r="M55" s="1" t="s">
        <v>730</v>
      </c>
      <c r="N55" s="1" t="s">
        <v>791</v>
      </c>
      <c r="O55" s="1" t="s">
        <v>68</v>
      </c>
      <c r="P55" s="1">
        <v>1041.0</v>
      </c>
      <c r="Q55" s="1" t="s">
        <v>730</v>
      </c>
      <c r="R55" s="1" t="s">
        <v>790</v>
      </c>
      <c r="S55" s="1" t="s">
        <v>162</v>
      </c>
      <c r="T55" s="1" t="s">
        <v>793</v>
      </c>
      <c r="U55" s="1" t="s">
        <v>71</v>
      </c>
      <c r="V55" s="1" t="s">
        <v>72</v>
      </c>
      <c r="W55" s="1" t="s">
        <v>31</v>
      </c>
      <c r="X55" s="1" t="s">
        <v>730</v>
      </c>
      <c r="Y55" s="1" t="s">
        <v>795</v>
      </c>
      <c r="Z55" s="1" t="s">
        <v>51</v>
      </c>
      <c r="AA55" s="1" t="s">
        <v>31</v>
      </c>
      <c r="AB55" s="1" t="s">
        <v>31</v>
      </c>
      <c r="AC55" s="1" t="s">
        <v>74</v>
      </c>
      <c r="AD55" s="1" t="s">
        <v>31</v>
      </c>
      <c r="AE55" s="5"/>
    </row>
    <row r="56" ht="14.25" customHeight="1">
      <c r="A56" s="1" t="s">
        <v>33</v>
      </c>
      <c r="B56" s="1">
        <v>1.1000388E7</v>
      </c>
      <c r="C56" s="1" t="str">
        <f>VLOOKUP(B56,Equipment!A$1:J$575,9,0)</f>
        <v>#N/A</v>
      </c>
      <c r="D56" s="1" t="s">
        <v>800</v>
      </c>
      <c r="E56" s="1" t="s">
        <v>801</v>
      </c>
      <c r="F56" s="1" t="s">
        <v>269</v>
      </c>
      <c r="G56" s="1" t="s">
        <v>802</v>
      </c>
      <c r="H56" s="1" t="s">
        <v>730</v>
      </c>
      <c r="I56" s="1" t="s">
        <v>730</v>
      </c>
      <c r="J56" s="1" t="s">
        <v>803</v>
      </c>
      <c r="K56" s="1" t="s">
        <v>804</v>
      </c>
      <c r="L56" s="1">
        <v>0.58</v>
      </c>
      <c r="M56" s="1" t="s">
        <v>730</v>
      </c>
      <c r="N56" s="1" t="s">
        <v>806</v>
      </c>
      <c r="O56" s="1" t="s">
        <v>68</v>
      </c>
      <c r="P56" s="1">
        <v>1041.0</v>
      </c>
      <c r="Q56" s="1" t="s">
        <v>730</v>
      </c>
      <c r="R56" s="1" t="s">
        <v>804</v>
      </c>
      <c r="S56" s="1" t="s">
        <v>162</v>
      </c>
      <c r="T56" s="1" t="s">
        <v>810</v>
      </c>
      <c r="U56" s="1" t="s">
        <v>71</v>
      </c>
      <c r="V56" s="1" t="s">
        <v>72</v>
      </c>
      <c r="W56" s="1" t="s">
        <v>31</v>
      </c>
      <c r="X56" s="1" t="s">
        <v>31</v>
      </c>
      <c r="Y56" s="1" t="s">
        <v>73</v>
      </c>
      <c r="Z56" s="1" t="s">
        <v>51</v>
      </c>
      <c r="AA56" s="1" t="s">
        <v>31</v>
      </c>
      <c r="AB56" s="1" t="s">
        <v>31</v>
      </c>
      <c r="AC56" s="1" t="s">
        <v>74</v>
      </c>
      <c r="AD56" s="1" t="s">
        <v>31</v>
      </c>
      <c r="AE56" s="5"/>
    </row>
    <row r="57" ht="14.25" customHeight="1">
      <c r="A57" s="1" t="s">
        <v>33</v>
      </c>
      <c r="B57" s="1">
        <v>1.1000449E7</v>
      </c>
      <c r="C57" s="1" t="str">
        <f>VLOOKUP(B57,Equipment!A$1:J$575,9,0)</f>
        <v>E</v>
      </c>
      <c r="D57" s="1" t="s">
        <v>819</v>
      </c>
      <c r="E57" s="1" t="s">
        <v>820</v>
      </c>
      <c r="F57" s="1" t="s">
        <v>160</v>
      </c>
      <c r="G57" s="1" t="s">
        <v>821</v>
      </c>
      <c r="H57" s="1" t="s">
        <v>730</v>
      </c>
      <c r="I57" s="1" t="s">
        <v>730</v>
      </c>
      <c r="J57" s="1" t="s">
        <v>482</v>
      </c>
      <c r="K57" s="1" t="s">
        <v>822</v>
      </c>
      <c r="L57" s="1">
        <v>3.75</v>
      </c>
      <c r="M57" s="1" t="s">
        <v>730</v>
      </c>
      <c r="N57" s="1" t="s">
        <v>823</v>
      </c>
      <c r="O57" s="1" t="s">
        <v>68</v>
      </c>
      <c r="P57" s="1">
        <v>1041.0</v>
      </c>
      <c r="Q57" s="1" t="s">
        <v>730</v>
      </c>
      <c r="R57" s="1" t="s">
        <v>822</v>
      </c>
      <c r="S57" s="1" t="s">
        <v>547</v>
      </c>
      <c r="T57" s="1" t="s">
        <v>824</v>
      </c>
      <c r="U57" s="1" t="s">
        <v>71</v>
      </c>
      <c r="V57" s="1" t="s">
        <v>72</v>
      </c>
      <c r="W57" s="1" t="s">
        <v>31</v>
      </c>
      <c r="X57" s="1" t="s">
        <v>31</v>
      </c>
      <c r="Y57" s="1" t="s">
        <v>73</v>
      </c>
      <c r="Z57" s="1" t="s">
        <v>51</v>
      </c>
      <c r="AA57" s="1" t="s">
        <v>31</v>
      </c>
      <c r="AB57" s="1" t="s">
        <v>31</v>
      </c>
      <c r="AC57" s="1" t="s">
        <v>74</v>
      </c>
      <c r="AD57" s="1" t="s">
        <v>31</v>
      </c>
      <c r="AE57" s="5"/>
    </row>
    <row r="58" ht="14.25" customHeight="1">
      <c r="A58" s="1" t="s">
        <v>33</v>
      </c>
      <c r="B58" s="1">
        <v>1.1000453E7</v>
      </c>
      <c r="C58" s="1" t="str">
        <f>VLOOKUP(B58,Equipment!A$1:J$575,9,0)</f>
        <v>E</v>
      </c>
      <c r="D58" s="1" t="s">
        <v>831</v>
      </c>
      <c r="E58" s="1" t="s">
        <v>832</v>
      </c>
      <c r="F58" s="1" t="s">
        <v>283</v>
      </c>
      <c r="G58" s="1" t="s">
        <v>834</v>
      </c>
      <c r="H58" s="1" t="s">
        <v>730</v>
      </c>
      <c r="I58" s="1" t="s">
        <v>730</v>
      </c>
      <c r="J58" s="1" t="s">
        <v>836</v>
      </c>
      <c r="K58" s="1" t="s">
        <v>838</v>
      </c>
      <c r="L58" s="1">
        <v>0.67</v>
      </c>
      <c r="M58" s="1" t="s">
        <v>730</v>
      </c>
      <c r="N58" s="1" t="s">
        <v>839</v>
      </c>
      <c r="O58" s="1" t="s">
        <v>68</v>
      </c>
      <c r="P58" s="1">
        <v>1041.0</v>
      </c>
      <c r="Q58" s="1" t="s">
        <v>730</v>
      </c>
      <c r="R58" s="1" t="s">
        <v>838</v>
      </c>
      <c r="S58" s="1" t="s">
        <v>547</v>
      </c>
      <c r="T58" s="1" t="s">
        <v>840</v>
      </c>
      <c r="U58" s="1" t="s">
        <v>71</v>
      </c>
      <c r="V58" s="1" t="s">
        <v>72</v>
      </c>
      <c r="W58" s="1" t="s">
        <v>31</v>
      </c>
      <c r="X58" s="1" t="s">
        <v>31</v>
      </c>
      <c r="Y58" s="1" t="s">
        <v>73</v>
      </c>
      <c r="Z58" s="1" t="s">
        <v>51</v>
      </c>
      <c r="AA58" s="1" t="s">
        <v>31</v>
      </c>
      <c r="AB58" s="1" t="s">
        <v>31</v>
      </c>
      <c r="AC58" s="1" t="s">
        <v>74</v>
      </c>
      <c r="AD58" s="1" t="s">
        <v>31</v>
      </c>
      <c r="AE58" s="5"/>
    </row>
    <row r="59" ht="14.25" customHeight="1">
      <c r="A59" s="1" t="s">
        <v>33</v>
      </c>
      <c r="B59" s="1">
        <v>1.1000485E7</v>
      </c>
      <c r="C59" s="1" t="str">
        <f>VLOOKUP(B59,Equipment!A$1:J$575,9,0)</f>
        <v>E</v>
      </c>
      <c r="D59" s="1" t="s">
        <v>847</v>
      </c>
      <c r="E59" s="1" t="s">
        <v>848</v>
      </c>
      <c r="F59" s="1" t="s">
        <v>849</v>
      </c>
      <c r="G59" s="1" t="s">
        <v>851</v>
      </c>
      <c r="H59" s="1" t="s">
        <v>730</v>
      </c>
      <c r="I59" s="1" t="s">
        <v>730</v>
      </c>
      <c r="J59" s="1" t="s">
        <v>852</v>
      </c>
      <c r="K59" s="1" t="s">
        <v>853</v>
      </c>
      <c r="L59" s="1">
        <v>1.0</v>
      </c>
      <c r="M59" s="1" t="s">
        <v>730</v>
      </c>
      <c r="N59" s="1" t="s">
        <v>855</v>
      </c>
      <c r="O59" s="1" t="s">
        <v>68</v>
      </c>
      <c r="P59" s="1">
        <v>1041.0</v>
      </c>
      <c r="Q59" s="1" t="s">
        <v>730</v>
      </c>
      <c r="R59" s="1" t="s">
        <v>853</v>
      </c>
      <c r="S59" s="1" t="s">
        <v>547</v>
      </c>
      <c r="T59" s="1" t="s">
        <v>856</v>
      </c>
      <c r="U59" s="1" t="s">
        <v>71</v>
      </c>
      <c r="V59" s="1" t="s">
        <v>72</v>
      </c>
      <c r="W59" s="1" t="s">
        <v>31</v>
      </c>
      <c r="X59" s="1" t="s">
        <v>31</v>
      </c>
      <c r="Y59" s="1" t="s">
        <v>73</v>
      </c>
      <c r="Z59" s="1" t="s">
        <v>51</v>
      </c>
      <c r="AA59" s="1" t="s">
        <v>31</v>
      </c>
      <c r="AB59" s="1" t="s">
        <v>31</v>
      </c>
      <c r="AC59" s="1" t="s">
        <v>74</v>
      </c>
      <c r="AD59" s="1" t="s">
        <v>31</v>
      </c>
      <c r="AE59" s="5"/>
    </row>
    <row r="60" ht="14.25" customHeight="1">
      <c r="A60" s="1" t="s">
        <v>33</v>
      </c>
      <c r="B60" s="1">
        <v>1.1001303E7</v>
      </c>
      <c r="C60" s="1" t="str">
        <f>VLOOKUP(B60,Equipment!A$1:J$575,9,0)</f>
        <v>E</v>
      </c>
      <c r="D60" s="1" t="s">
        <v>862</v>
      </c>
      <c r="E60" s="1" t="s">
        <v>863</v>
      </c>
      <c r="F60" s="1" t="s">
        <v>649</v>
      </c>
      <c r="G60" s="1" t="s">
        <v>865</v>
      </c>
      <c r="H60" s="1" t="s">
        <v>730</v>
      </c>
      <c r="I60" s="1" t="s">
        <v>730</v>
      </c>
      <c r="J60" s="1" t="s">
        <v>866</v>
      </c>
      <c r="K60" s="1" t="s">
        <v>867</v>
      </c>
      <c r="L60" s="1">
        <v>0.5</v>
      </c>
      <c r="M60" s="1" t="s">
        <v>730</v>
      </c>
      <c r="N60" s="1" t="s">
        <v>868</v>
      </c>
      <c r="O60" s="1" t="s">
        <v>121</v>
      </c>
      <c r="P60" s="1">
        <v>1041.0</v>
      </c>
      <c r="Q60" s="1" t="s">
        <v>730</v>
      </c>
      <c r="R60" s="1" t="s">
        <v>867</v>
      </c>
      <c r="S60" s="1" t="s">
        <v>547</v>
      </c>
      <c r="T60" s="1" t="s">
        <v>869</v>
      </c>
      <c r="U60" s="1" t="s">
        <v>71</v>
      </c>
      <c r="V60" s="1" t="s">
        <v>72</v>
      </c>
      <c r="W60" s="1" t="s">
        <v>31</v>
      </c>
      <c r="X60" s="1" t="s">
        <v>730</v>
      </c>
      <c r="Y60" s="1" t="s">
        <v>869</v>
      </c>
      <c r="Z60" s="1" t="s">
        <v>51</v>
      </c>
      <c r="AA60" s="1" t="s">
        <v>31</v>
      </c>
      <c r="AB60" s="1" t="s">
        <v>31</v>
      </c>
      <c r="AC60" s="1" t="s">
        <v>656</v>
      </c>
      <c r="AD60" s="1" t="s">
        <v>31</v>
      </c>
      <c r="AE60" s="5"/>
    </row>
    <row r="61" ht="14.25" customHeight="1">
      <c r="A61" s="1" t="s">
        <v>33</v>
      </c>
      <c r="B61" s="1">
        <v>1.1000386E7</v>
      </c>
      <c r="C61" s="1" t="str">
        <f>VLOOKUP(B61,Equipment!A$1:J$575,9,0)</f>
        <v>E</v>
      </c>
      <c r="D61" s="1" t="s">
        <v>879</v>
      </c>
      <c r="E61" s="1" t="s">
        <v>880</v>
      </c>
      <c r="F61" s="1" t="s">
        <v>415</v>
      </c>
      <c r="G61" s="1" t="s">
        <v>881</v>
      </c>
      <c r="H61" s="1" t="s">
        <v>882</v>
      </c>
      <c r="I61" s="1" t="s">
        <v>882</v>
      </c>
      <c r="J61" s="1" t="s">
        <v>349</v>
      </c>
      <c r="K61" s="1" t="s">
        <v>883</v>
      </c>
      <c r="L61" s="1">
        <v>0.42</v>
      </c>
      <c r="M61" s="1" t="s">
        <v>882</v>
      </c>
      <c r="N61" s="1" t="s">
        <v>885</v>
      </c>
      <c r="O61" s="1" t="s">
        <v>68</v>
      </c>
      <c r="P61" s="1">
        <v>1041.0</v>
      </c>
      <c r="Q61" s="1" t="s">
        <v>882</v>
      </c>
      <c r="R61" s="1" t="s">
        <v>883</v>
      </c>
      <c r="S61" s="1" t="s">
        <v>730</v>
      </c>
      <c r="T61" s="1" t="s">
        <v>887</v>
      </c>
      <c r="U61" s="1" t="s">
        <v>71</v>
      </c>
      <c r="V61" s="1" t="s">
        <v>72</v>
      </c>
      <c r="W61" s="1" t="s">
        <v>31</v>
      </c>
      <c r="X61" s="1" t="s">
        <v>882</v>
      </c>
      <c r="Y61" s="1" t="s">
        <v>887</v>
      </c>
      <c r="Z61" s="1" t="s">
        <v>51</v>
      </c>
      <c r="AA61" s="1" t="s">
        <v>31</v>
      </c>
      <c r="AB61" s="1" t="s">
        <v>31</v>
      </c>
      <c r="AC61" s="1" t="s">
        <v>74</v>
      </c>
      <c r="AD61" s="1" t="s">
        <v>31</v>
      </c>
      <c r="AE61" s="5"/>
    </row>
    <row r="62" ht="14.25" customHeight="1">
      <c r="A62" s="1" t="s">
        <v>33</v>
      </c>
      <c r="B62" s="1">
        <v>1.1000439E7</v>
      </c>
      <c r="C62" s="1" t="str">
        <f>VLOOKUP(B62,Equipment!A$1:J$575,9,0)</f>
        <v>E</v>
      </c>
      <c r="D62" s="1" t="s">
        <v>892</v>
      </c>
      <c r="E62" s="1" t="s">
        <v>893</v>
      </c>
      <c r="F62" s="1" t="s">
        <v>894</v>
      </c>
      <c r="G62" s="1" t="s">
        <v>896</v>
      </c>
      <c r="H62" s="1" t="s">
        <v>882</v>
      </c>
      <c r="I62" s="1" t="s">
        <v>882</v>
      </c>
      <c r="J62" s="1" t="s">
        <v>898</v>
      </c>
      <c r="K62" s="1" t="s">
        <v>899</v>
      </c>
      <c r="L62" s="1">
        <v>0.5</v>
      </c>
      <c r="M62" s="1" t="s">
        <v>882</v>
      </c>
      <c r="N62" s="1" t="s">
        <v>900</v>
      </c>
      <c r="O62" s="1" t="s">
        <v>68</v>
      </c>
      <c r="P62" s="1">
        <v>1041.0</v>
      </c>
      <c r="Q62" s="1" t="s">
        <v>882</v>
      </c>
      <c r="R62" s="1" t="s">
        <v>899</v>
      </c>
      <c r="S62" s="1" t="s">
        <v>219</v>
      </c>
      <c r="T62" s="1" t="s">
        <v>902</v>
      </c>
      <c r="U62" s="1" t="s">
        <v>71</v>
      </c>
      <c r="V62" s="1" t="s">
        <v>72</v>
      </c>
      <c r="W62" s="1" t="s">
        <v>31</v>
      </c>
      <c r="X62" s="1" t="s">
        <v>31</v>
      </c>
      <c r="Y62" s="1" t="s">
        <v>73</v>
      </c>
      <c r="Z62" s="1" t="s">
        <v>51</v>
      </c>
      <c r="AA62" s="1" t="s">
        <v>31</v>
      </c>
      <c r="AB62" s="1" t="s">
        <v>31</v>
      </c>
      <c r="AC62" s="1" t="s">
        <v>74</v>
      </c>
      <c r="AD62" s="1" t="s">
        <v>31</v>
      </c>
      <c r="AE62" s="5"/>
    </row>
    <row r="63" ht="14.25" customHeight="1">
      <c r="A63" s="1" t="s">
        <v>33</v>
      </c>
      <c r="B63" s="1">
        <v>1.1000453E7</v>
      </c>
      <c r="C63" s="1" t="str">
        <f>VLOOKUP(B63,Equipment!A$1:J$575,9,0)</f>
        <v>E</v>
      </c>
      <c r="D63" s="1" t="s">
        <v>907</v>
      </c>
      <c r="E63" s="1" t="s">
        <v>908</v>
      </c>
      <c r="F63" s="1" t="s">
        <v>283</v>
      </c>
      <c r="G63" s="1" t="s">
        <v>909</v>
      </c>
      <c r="H63" s="1" t="s">
        <v>882</v>
      </c>
      <c r="I63" s="1" t="s">
        <v>882</v>
      </c>
      <c r="J63" s="1" t="s">
        <v>500</v>
      </c>
      <c r="K63" s="1" t="s">
        <v>911</v>
      </c>
      <c r="L63" s="1">
        <v>2.5</v>
      </c>
      <c r="M63" s="1" t="s">
        <v>882</v>
      </c>
      <c r="N63" s="1" t="s">
        <v>912</v>
      </c>
      <c r="O63" s="1" t="s">
        <v>68</v>
      </c>
      <c r="P63" s="1">
        <v>1041.0</v>
      </c>
      <c r="Q63" s="1" t="s">
        <v>882</v>
      </c>
      <c r="R63" s="1" t="s">
        <v>911</v>
      </c>
      <c r="S63" s="1" t="s">
        <v>730</v>
      </c>
      <c r="T63" s="1" t="s">
        <v>914</v>
      </c>
      <c r="U63" s="1" t="s">
        <v>71</v>
      </c>
      <c r="V63" s="1" t="s">
        <v>72</v>
      </c>
      <c r="W63" s="1" t="s">
        <v>31</v>
      </c>
      <c r="X63" s="1" t="s">
        <v>31</v>
      </c>
      <c r="Y63" s="1" t="s">
        <v>73</v>
      </c>
      <c r="Z63" s="1" t="s">
        <v>51</v>
      </c>
      <c r="AA63" s="1" t="s">
        <v>31</v>
      </c>
      <c r="AB63" s="1" t="s">
        <v>31</v>
      </c>
      <c r="AC63" s="1" t="s">
        <v>74</v>
      </c>
      <c r="AD63" s="1" t="s">
        <v>31</v>
      </c>
      <c r="AE63" s="5"/>
    </row>
    <row r="64" ht="14.25" customHeight="1">
      <c r="A64" s="1" t="s">
        <v>33</v>
      </c>
      <c r="B64" s="1">
        <v>1.1000481E7</v>
      </c>
      <c r="C64" s="1" t="str">
        <f>VLOOKUP(B64,Equipment!A$1:J$575,9,0)</f>
        <v>E</v>
      </c>
      <c r="D64" s="1" t="s">
        <v>918</v>
      </c>
      <c r="E64" s="1" t="s">
        <v>920</v>
      </c>
      <c r="F64" s="1" t="s">
        <v>921</v>
      </c>
      <c r="G64" s="1" t="s">
        <v>922</v>
      </c>
      <c r="H64" s="1" t="s">
        <v>882</v>
      </c>
      <c r="I64" s="1" t="s">
        <v>882</v>
      </c>
      <c r="J64" s="1" t="s">
        <v>923</v>
      </c>
      <c r="K64" s="1" t="s">
        <v>924</v>
      </c>
      <c r="L64" s="1">
        <v>8.5</v>
      </c>
      <c r="M64" s="1" t="s">
        <v>882</v>
      </c>
      <c r="N64" s="1" t="s">
        <v>925</v>
      </c>
      <c r="O64" s="1" t="s">
        <v>68</v>
      </c>
      <c r="P64" s="1">
        <v>1041.0</v>
      </c>
      <c r="Q64" s="1" t="s">
        <v>882</v>
      </c>
      <c r="R64" s="1" t="s">
        <v>924</v>
      </c>
      <c r="S64" s="1" t="s">
        <v>730</v>
      </c>
      <c r="T64" s="1" t="s">
        <v>926</v>
      </c>
      <c r="U64" s="1" t="s">
        <v>71</v>
      </c>
      <c r="V64" s="1" t="s">
        <v>72</v>
      </c>
      <c r="W64" s="1" t="s">
        <v>31</v>
      </c>
      <c r="X64" s="1" t="s">
        <v>31</v>
      </c>
      <c r="Y64" s="1" t="s">
        <v>73</v>
      </c>
      <c r="Z64" s="1" t="s">
        <v>51</v>
      </c>
      <c r="AA64" s="1" t="s">
        <v>31</v>
      </c>
      <c r="AB64" s="1" t="s">
        <v>31</v>
      </c>
      <c r="AC64" s="1" t="s">
        <v>74</v>
      </c>
      <c r="AD64" s="1" t="s">
        <v>31</v>
      </c>
      <c r="AE64" s="5"/>
    </row>
    <row r="65" ht="14.25" customHeight="1">
      <c r="A65" s="1" t="s">
        <v>33</v>
      </c>
      <c r="B65" s="1">
        <v>1.1000481E7</v>
      </c>
      <c r="C65" s="1" t="str">
        <f>VLOOKUP(B65,Equipment!A$1:J$575,9,0)</f>
        <v>E</v>
      </c>
      <c r="D65" s="1" t="s">
        <v>932</v>
      </c>
      <c r="E65" s="1" t="s">
        <v>933</v>
      </c>
      <c r="F65" s="1" t="s">
        <v>921</v>
      </c>
      <c r="G65" s="1" t="s">
        <v>934</v>
      </c>
      <c r="H65" s="1" t="s">
        <v>882</v>
      </c>
      <c r="I65" s="1" t="s">
        <v>882</v>
      </c>
      <c r="J65" s="1" t="s">
        <v>935</v>
      </c>
      <c r="K65" s="1" t="s">
        <v>936</v>
      </c>
      <c r="L65" s="1">
        <v>9.33</v>
      </c>
      <c r="M65" s="1" t="s">
        <v>882</v>
      </c>
      <c r="N65" s="1" t="s">
        <v>938</v>
      </c>
      <c r="O65" s="1" t="s">
        <v>68</v>
      </c>
      <c r="P65" s="1">
        <v>1041.0</v>
      </c>
      <c r="Q65" s="1" t="s">
        <v>882</v>
      </c>
      <c r="R65" s="1" t="s">
        <v>936</v>
      </c>
      <c r="S65" s="1" t="s">
        <v>730</v>
      </c>
      <c r="T65" s="1" t="s">
        <v>939</v>
      </c>
      <c r="U65" s="1" t="s">
        <v>71</v>
      </c>
      <c r="V65" s="1" t="s">
        <v>72</v>
      </c>
      <c r="W65" s="1" t="s">
        <v>31</v>
      </c>
      <c r="X65" s="1" t="s">
        <v>31</v>
      </c>
      <c r="Y65" s="1" t="s">
        <v>73</v>
      </c>
      <c r="Z65" s="1" t="s">
        <v>51</v>
      </c>
      <c r="AA65" s="1" t="s">
        <v>31</v>
      </c>
      <c r="AB65" s="1" t="s">
        <v>31</v>
      </c>
      <c r="AC65" s="1" t="s">
        <v>74</v>
      </c>
      <c r="AD65" s="1" t="s">
        <v>31</v>
      </c>
      <c r="AE65" s="5"/>
    </row>
    <row r="66" ht="14.25" customHeight="1">
      <c r="A66" s="1" t="s">
        <v>33</v>
      </c>
      <c r="B66" s="1">
        <v>1.1000485E7</v>
      </c>
      <c r="C66" s="1" t="str">
        <f>VLOOKUP(B66,Equipment!A$1:J$575,9,0)</f>
        <v>E</v>
      </c>
      <c r="D66" s="1" t="s">
        <v>951</v>
      </c>
      <c r="E66" s="1" t="s">
        <v>953</v>
      </c>
      <c r="F66" s="1" t="s">
        <v>849</v>
      </c>
      <c r="G66" s="1" t="s">
        <v>954</v>
      </c>
      <c r="H66" s="1" t="s">
        <v>882</v>
      </c>
      <c r="I66" s="1" t="s">
        <v>882</v>
      </c>
      <c r="J66" s="1" t="s">
        <v>955</v>
      </c>
      <c r="K66" s="1" t="s">
        <v>957</v>
      </c>
      <c r="L66" s="1">
        <v>1.0</v>
      </c>
      <c r="M66" s="1" t="s">
        <v>882</v>
      </c>
      <c r="N66" s="1" t="s">
        <v>958</v>
      </c>
      <c r="O66" s="1" t="s">
        <v>68</v>
      </c>
      <c r="P66" s="1">
        <v>1041.0</v>
      </c>
      <c r="Q66" s="1" t="s">
        <v>882</v>
      </c>
      <c r="R66" s="1" t="s">
        <v>957</v>
      </c>
      <c r="S66" s="1" t="s">
        <v>730</v>
      </c>
      <c r="T66" s="1" t="s">
        <v>960</v>
      </c>
      <c r="U66" s="1" t="s">
        <v>71</v>
      </c>
      <c r="V66" s="1" t="s">
        <v>72</v>
      </c>
      <c r="W66" s="1" t="s">
        <v>31</v>
      </c>
      <c r="X66" s="1" t="s">
        <v>31</v>
      </c>
      <c r="Y66" s="1" t="s">
        <v>73</v>
      </c>
      <c r="Z66" s="1" t="s">
        <v>51</v>
      </c>
      <c r="AA66" s="1" t="s">
        <v>31</v>
      </c>
      <c r="AB66" s="1" t="s">
        <v>31</v>
      </c>
      <c r="AC66" s="1" t="s">
        <v>74</v>
      </c>
      <c r="AD66" s="1" t="s">
        <v>31</v>
      </c>
      <c r="AE66" s="5"/>
    </row>
    <row r="67" ht="14.25" customHeight="1">
      <c r="A67" s="1" t="s">
        <v>33</v>
      </c>
      <c r="B67" s="1">
        <v>1.1000485E7</v>
      </c>
      <c r="C67" s="1" t="str">
        <f>VLOOKUP(B67,Equipment!A$1:J$575,9,0)</f>
        <v>E</v>
      </c>
      <c r="D67" s="1" t="s">
        <v>969</v>
      </c>
      <c r="E67" s="1" t="s">
        <v>970</v>
      </c>
      <c r="F67" s="1" t="s">
        <v>849</v>
      </c>
      <c r="G67" s="1" t="s">
        <v>971</v>
      </c>
      <c r="H67" s="1" t="s">
        <v>882</v>
      </c>
      <c r="I67" s="1" t="s">
        <v>882</v>
      </c>
      <c r="J67" s="1" t="s">
        <v>973</v>
      </c>
      <c r="K67" s="1" t="s">
        <v>974</v>
      </c>
      <c r="L67" s="1">
        <v>1.33</v>
      </c>
      <c r="M67" s="1" t="s">
        <v>882</v>
      </c>
      <c r="N67" s="1" t="s">
        <v>975</v>
      </c>
      <c r="O67" s="1" t="s">
        <v>68</v>
      </c>
      <c r="P67" s="1">
        <v>1041.0</v>
      </c>
      <c r="Q67" s="1" t="s">
        <v>882</v>
      </c>
      <c r="R67" s="1" t="s">
        <v>974</v>
      </c>
      <c r="S67" s="1" t="s">
        <v>730</v>
      </c>
      <c r="T67" s="1" t="s">
        <v>976</v>
      </c>
      <c r="U67" s="1" t="s">
        <v>71</v>
      </c>
      <c r="V67" s="1" t="s">
        <v>72</v>
      </c>
      <c r="W67" s="1" t="s">
        <v>31</v>
      </c>
      <c r="X67" s="1" t="s">
        <v>31</v>
      </c>
      <c r="Y67" s="1" t="s">
        <v>73</v>
      </c>
      <c r="Z67" s="1" t="s">
        <v>51</v>
      </c>
      <c r="AA67" s="1" t="s">
        <v>31</v>
      </c>
      <c r="AB67" s="1" t="s">
        <v>31</v>
      </c>
      <c r="AC67" s="1" t="s">
        <v>74</v>
      </c>
      <c r="AD67" s="1" t="s">
        <v>31</v>
      </c>
      <c r="AE67" s="5"/>
    </row>
    <row r="68" ht="14.25" customHeight="1">
      <c r="A68" s="1" t="s">
        <v>33</v>
      </c>
      <c r="B68" s="1">
        <v>1.1000715E7</v>
      </c>
      <c r="C68" s="1" t="str">
        <f>VLOOKUP(B68,Equipment!A$1:J$575,9,0)</f>
        <v>E</v>
      </c>
      <c r="D68" s="1" t="s">
        <v>985</v>
      </c>
      <c r="E68" s="1" t="s">
        <v>986</v>
      </c>
      <c r="F68" s="1" t="s">
        <v>988</v>
      </c>
      <c r="G68" s="1" t="s">
        <v>990</v>
      </c>
      <c r="H68" s="1" t="s">
        <v>882</v>
      </c>
      <c r="I68" s="1" t="s">
        <v>882</v>
      </c>
      <c r="J68" s="1" t="s">
        <v>991</v>
      </c>
      <c r="K68" s="1" t="s">
        <v>992</v>
      </c>
      <c r="L68" s="1">
        <v>0.83</v>
      </c>
      <c r="M68" s="1" t="s">
        <v>882</v>
      </c>
      <c r="N68" s="1" t="s">
        <v>991</v>
      </c>
      <c r="O68" s="1" t="s">
        <v>131</v>
      </c>
      <c r="P68" s="1">
        <v>2001.0</v>
      </c>
      <c r="Q68" s="1" t="s">
        <v>882</v>
      </c>
      <c r="R68" s="1" t="s">
        <v>992</v>
      </c>
      <c r="S68" s="1" t="s">
        <v>31</v>
      </c>
      <c r="T68" s="1" t="s">
        <v>73</v>
      </c>
      <c r="U68" s="1" t="s">
        <v>71</v>
      </c>
      <c r="V68" s="1" t="s">
        <v>72</v>
      </c>
      <c r="W68" s="1" t="s">
        <v>31</v>
      </c>
      <c r="X68" s="1" t="s">
        <v>882</v>
      </c>
      <c r="Y68" s="1" t="s">
        <v>993</v>
      </c>
      <c r="Z68" s="1" t="s">
        <v>51</v>
      </c>
      <c r="AA68" s="1" t="s">
        <v>31</v>
      </c>
      <c r="AB68" s="1" t="s">
        <v>31</v>
      </c>
      <c r="AC68" s="1" t="s">
        <v>137</v>
      </c>
      <c r="AD68" s="1" t="s">
        <v>31</v>
      </c>
      <c r="AE68" s="5"/>
    </row>
    <row r="69" ht="14.25" customHeight="1">
      <c r="A69" s="1" t="s">
        <v>33</v>
      </c>
      <c r="B69" s="1">
        <v>1.1000551E7</v>
      </c>
      <c r="C69" s="1" t="str">
        <f>VLOOKUP(B69,Equipment!A$1:J$575,9,0)</f>
        <v>E</v>
      </c>
      <c r="D69" s="1" t="s">
        <v>1002</v>
      </c>
      <c r="E69" s="1" t="s">
        <v>1005</v>
      </c>
      <c r="F69" s="1" t="s">
        <v>217</v>
      </c>
      <c r="G69" s="1" t="s">
        <v>1006</v>
      </c>
      <c r="H69" s="1" t="s">
        <v>1007</v>
      </c>
      <c r="I69" s="1" t="s">
        <v>1007</v>
      </c>
      <c r="J69" s="1" t="s">
        <v>1008</v>
      </c>
      <c r="K69" s="1" t="s">
        <v>1009</v>
      </c>
      <c r="L69" s="1">
        <v>1.84</v>
      </c>
      <c r="M69" s="1" t="s">
        <v>1007</v>
      </c>
      <c r="N69" s="1" t="s">
        <v>1010</v>
      </c>
      <c r="O69" s="1" t="s">
        <v>223</v>
      </c>
      <c r="P69" s="1">
        <v>1031.0</v>
      </c>
      <c r="Q69" s="1" t="s">
        <v>1007</v>
      </c>
      <c r="R69" s="1" t="s">
        <v>1011</v>
      </c>
      <c r="S69" s="1" t="s">
        <v>31</v>
      </c>
      <c r="T69" s="1" t="s">
        <v>73</v>
      </c>
      <c r="U69" s="1" t="s">
        <v>71</v>
      </c>
      <c r="V69" s="1" t="s">
        <v>72</v>
      </c>
      <c r="W69" s="1" t="s">
        <v>31</v>
      </c>
      <c r="X69" s="1" t="s">
        <v>1007</v>
      </c>
      <c r="Y69" s="1" t="s">
        <v>1010</v>
      </c>
      <c r="Z69" s="1" t="s">
        <v>51</v>
      </c>
      <c r="AA69" s="1" t="s">
        <v>31</v>
      </c>
      <c r="AB69" s="1" t="s">
        <v>31</v>
      </c>
      <c r="AC69" s="1" t="s">
        <v>227</v>
      </c>
      <c r="AD69" s="1" t="s">
        <v>31</v>
      </c>
      <c r="AE69" s="5"/>
    </row>
    <row r="70" ht="14.25" customHeight="1">
      <c r="A70" s="1" t="s">
        <v>33</v>
      </c>
      <c r="B70" s="1">
        <v>1.1000378E7</v>
      </c>
      <c r="C70" s="1" t="str">
        <f>VLOOKUP(B70,Equipment!A$1:J$575,9,0)</f>
        <v>E</v>
      </c>
      <c r="D70" s="1" t="s">
        <v>1022</v>
      </c>
      <c r="E70" s="1" t="s">
        <v>1024</v>
      </c>
      <c r="F70" s="1" t="s">
        <v>833</v>
      </c>
      <c r="G70" s="1" t="s">
        <v>1025</v>
      </c>
      <c r="H70" s="1" t="s">
        <v>1007</v>
      </c>
      <c r="I70" s="1" t="s">
        <v>1007</v>
      </c>
      <c r="J70" s="1" t="s">
        <v>482</v>
      </c>
      <c r="K70" s="1" t="s">
        <v>1026</v>
      </c>
      <c r="L70" s="1">
        <v>1.0</v>
      </c>
      <c r="M70" s="1" t="s">
        <v>1027</v>
      </c>
      <c r="N70" s="1" t="s">
        <v>1028</v>
      </c>
      <c r="O70" s="1" t="s">
        <v>68</v>
      </c>
      <c r="P70" s="1">
        <v>1041.0</v>
      </c>
      <c r="Q70" s="1" t="s">
        <v>1030</v>
      </c>
      <c r="R70" s="1" t="s">
        <v>1031</v>
      </c>
      <c r="S70" s="1" t="s">
        <v>1033</v>
      </c>
      <c r="T70" s="1" t="s">
        <v>1035</v>
      </c>
      <c r="U70" s="1" t="s">
        <v>71</v>
      </c>
      <c r="V70" s="1" t="s">
        <v>72</v>
      </c>
      <c r="W70" s="1" t="s">
        <v>31</v>
      </c>
      <c r="X70" s="1" t="s">
        <v>31</v>
      </c>
      <c r="Y70" s="1" t="s">
        <v>73</v>
      </c>
      <c r="Z70" s="1" t="s">
        <v>51</v>
      </c>
      <c r="AA70" s="1" t="s">
        <v>31</v>
      </c>
      <c r="AB70" s="1" t="s">
        <v>31</v>
      </c>
      <c r="AC70" s="1" t="s">
        <v>74</v>
      </c>
      <c r="AD70" s="1" t="s">
        <v>31</v>
      </c>
      <c r="AE70" s="5"/>
    </row>
    <row r="71" ht="14.25" customHeight="1">
      <c r="A71" s="1" t="s">
        <v>33</v>
      </c>
      <c r="B71" s="1">
        <v>1.1000386E7</v>
      </c>
      <c r="C71" s="1" t="str">
        <f>VLOOKUP(B71,Equipment!A$1:J$575,9,0)</f>
        <v>E</v>
      </c>
      <c r="D71" s="1" t="s">
        <v>1046</v>
      </c>
      <c r="E71" s="1" t="s">
        <v>1048</v>
      </c>
      <c r="F71" s="1" t="s">
        <v>415</v>
      </c>
      <c r="G71" s="1" t="s">
        <v>1051</v>
      </c>
      <c r="H71" s="1" t="s">
        <v>1007</v>
      </c>
      <c r="I71" s="1" t="s">
        <v>1007</v>
      </c>
      <c r="J71" s="1" t="s">
        <v>349</v>
      </c>
      <c r="K71" s="1" t="s">
        <v>1052</v>
      </c>
      <c r="L71" s="1">
        <v>14.85</v>
      </c>
      <c r="M71" s="1" t="s">
        <v>1007</v>
      </c>
      <c r="N71" s="1" t="s">
        <v>1053</v>
      </c>
      <c r="O71" s="1" t="s">
        <v>68</v>
      </c>
      <c r="P71" s="1">
        <v>1041.0</v>
      </c>
      <c r="Q71" s="1" t="s">
        <v>1007</v>
      </c>
      <c r="R71" s="1" t="s">
        <v>1052</v>
      </c>
      <c r="S71" s="1" t="s">
        <v>357</v>
      </c>
      <c r="T71" s="1" t="s">
        <v>1056</v>
      </c>
      <c r="U71" s="1" t="s">
        <v>71</v>
      </c>
      <c r="V71" s="1" t="s">
        <v>72</v>
      </c>
      <c r="W71" s="1" t="s">
        <v>31</v>
      </c>
      <c r="X71" s="1" t="s">
        <v>1007</v>
      </c>
      <c r="Y71" s="1" t="s">
        <v>349</v>
      </c>
      <c r="Z71" s="1" t="s">
        <v>51</v>
      </c>
      <c r="AA71" s="1" t="s">
        <v>31</v>
      </c>
      <c r="AB71" s="1" t="s">
        <v>31</v>
      </c>
      <c r="AC71" s="1" t="s">
        <v>74</v>
      </c>
      <c r="AD71" s="1" t="s">
        <v>31</v>
      </c>
      <c r="AE71" s="5"/>
    </row>
    <row r="72" ht="14.25" customHeight="1">
      <c r="A72" s="1" t="s">
        <v>33</v>
      </c>
      <c r="B72" s="1">
        <v>1.1000452E7</v>
      </c>
      <c r="C72" s="1" t="str">
        <f>VLOOKUP(B72,Equipment!A$1:J$575,9,0)</f>
        <v>E</v>
      </c>
      <c r="D72" s="1" t="s">
        <v>1066</v>
      </c>
      <c r="E72" s="1" t="s">
        <v>1067</v>
      </c>
      <c r="F72" s="1" t="s">
        <v>180</v>
      </c>
      <c r="G72" s="1" t="s">
        <v>1068</v>
      </c>
      <c r="H72" s="1" t="s">
        <v>1007</v>
      </c>
      <c r="I72" s="1" t="s">
        <v>1007</v>
      </c>
      <c r="J72" s="1" t="s">
        <v>1070</v>
      </c>
      <c r="K72" s="1" t="s">
        <v>1071</v>
      </c>
      <c r="L72" s="1">
        <v>1.0</v>
      </c>
      <c r="M72" s="1" t="s">
        <v>1007</v>
      </c>
      <c r="N72" s="1" t="s">
        <v>1070</v>
      </c>
      <c r="O72" s="1" t="s">
        <v>68</v>
      </c>
      <c r="P72" s="1">
        <v>1041.0</v>
      </c>
      <c r="Q72" s="1" t="s">
        <v>1007</v>
      </c>
      <c r="R72" s="1" t="s">
        <v>1071</v>
      </c>
      <c r="S72" s="1" t="s">
        <v>882</v>
      </c>
      <c r="T72" s="1" t="s">
        <v>1072</v>
      </c>
      <c r="U72" s="1" t="s">
        <v>71</v>
      </c>
      <c r="V72" s="1" t="s">
        <v>72</v>
      </c>
      <c r="W72" s="1" t="s">
        <v>31</v>
      </c>
      <c r="X72" s="1" t="s">
        <v>31</v>
      </c>
      <c r="Y72" s="1" t="s">
        <v>73</v>
      </c>
      <c r="Z72" s="1" t="s">
        <v>51</v>
      </c>
      <c r="AA72" s="1" t="s">
        <v>31</v>
      </c>
      <c r="AB72" s="1" t="s">
        <v>31</v>
      </c>
      <c r="AC72" s="1" t="s">
        <v>74</v>
      </c>
      <c r="AD72" s="1" t="s">
        <v>31</v>
      </c>
      <c r="AE72" s="5"/>
    </row>
    <row r="73" ht="14.25" customHeight="1">
      <c r="A73" s="1" t="s">
        <v>33</v>
      </c>
      <c r="B73" s="1">
        <v>1.1000453E7</v>
      </c>
      <c r="C73" s="1" t="str">
        <f>VLOOKUP(B73,Equipment!A$1:J$575,9,0)</f>
        <v>E</v>
      </c>
      <c r="D73" s="1" t="s">
        <v>1079</v>
      </c>
      <c r="E73" s="1" t="s">
        <v>1081</v>
      </c>
      <c r="F73" s="1" t="s">
        <v>283</v>
      </c>
      <c r="G73" s="1" t="s">
        <v>1083</v>
      </c>
      <c r="H73" s="1" t="s">
        <v>1007</v>
      </c>
      <c r="I73" s="1" t="s">
        <v>31</v>
      </c>
      <c r="J73" s="1" t="s">
        <v>1084</v>
      </c>
      <c r="K73" s="1" t="s">
        <v>73</v>
      </c>
      <c r="L73" s="1">
        <v>0.0</v>
      </c>
      <c r="M73" s="1" t="s">
        <v>1007</v>
      </c>
      <c r="N73" s="1" t="s">
        <v>1084</v>
      </c>
      <c r="O73" s="1" t="s">
        <v>68</v>
      </c>
      <c r="P73" s="1">
        <v>1041.0</v>
      </c>
      <c r="Q73" s="1" t="s">
        <v>1007</v>
      </c>
      <c r="R73" s="1" t="s">
        <v>1088</v>
      </c>
      <c r="S73" s="1" t="s">
        <v>882</v>
      </c>
      <c r="T73" s="1" t="s">
        <v>1090</v>
      </c>
      <c r="U73" s="1" t="s">
        <v>71</v>
      </c>
      <c r="V73" s="1" t="s">
        <v>72</v>
      </c>
      <c r="W73" s="1" t="s">
        <v>31</v>
      </c>
      <c r="X73" s="1" t="s">
        <v>31</v>
      </c>
      <c r="Y73" s="1" t="s">
        <v>73</v>
      </c>
      <c r="Z73" s="1" t="s">
        <v>51</v>
      </c>
      <c r="AA73" s="1" t="s">
        <v>31</v>
      </c>
      <c r="AB73" s="1" t="s">
        <v>31</v>
      </c>
      <c r="AC73" s="1" t="s">
        <v>74</v>
      </c>
      <c r="AD73" s="1" t="s">
        <v>31</v>
      </c>
      <c r="AE73" s="5"/>
    </row>
    <row r="74" ht="14.25" customHeight="1">
      <c r="A74" s="1" t="s">
        <v>33</v>
      </c>
      <c r="B74" s="1">
        <v>1.1000481E7</v>
      </c>
      <c r="C74" s="1" t="str">
        <f>VLOOKUP(B74,Equipment!A$1:J$575,9,0)</f>
        <v>E</v>
      </c>
      <c r="D74" s="1" t="s">
        <v>1098</v>
      </c>
      <c r="E74" s="1" t="s">
        <v>1099</v>
      </c>
      <c r="F74" s="1" t="s">
        <v>921</v>
      </c>
      <c r="G74" s="1" t="s">
        <v>1100</v>
      </c>
      <c r="H74" s="1" t="s">
        <v>1007</v>
      </c>
      <c r="I74" s="1" t="s">
        <v>1007</v>
      </c>
      <c r="J74" s="1" t="s">
        <v>955</v>
      </c>
      <c r="K74" s="1" t="s">
        <v>1101</v>
      </c>
      <c r="L74" s="1">
        <v>3.0</v>
      </c>
      <c r="M74" s="1" t="s">
        <v>1007</v>
      </c>
      <c r="N74" s="1" t="s">
        <v>1102</v>
      </c>
      <c r="O74" s="1" t="s">
        <v>68</v>
      </c>
      <c r="P74" s="1">
        <v>1041.0</v>
      </c>
      <c r="Q74" s="1" t="s">
        <v>1007</v>
      </c>
      <c r="R74" s="1" t="s">
        <v>1101</v>
      </c>
      <c r="S74" s="1" t="s">
        <v>882</v>
      </c>
      <c r="T74" s="1" t="s">
        <v>1108</v>
      </c>
      <c r="U74" s="1" t="s">
        <v>71</v>
      </c>
      <c r="V74" s="1" t="s">
        <v>72</v>
      </c>
      <c r="W74" s="1" t="s">
        <v>31</v>
      </c>
      <c r="X74" s="1" t="s">
        <v>31</v>
      </c>
      <c r="Y74" s="1" t="s">
        <v>73</v>
      </c>
      <c r="Z74" s="1" t="s">
        <v>51</v>
      </c>
      <c r="AA74" s="1" t="s">
        <v>31</v>
      </c>
      <c r="AB74" s="1" t="s">
        <v>31</v>
      </c>
      <c r="AC74" s="1" t="s">
        <v>74</v>
      </c>
      <c r="AD74" s="1" t="s">
        <v>31</v>
      </c>
      <c r="AE74" s="5"/>
    </row>
    <row r="75" ht="14.25" customHeight="1">
      <c r="A75" s="1" t="s">
        <v>33</v>
      </c>
      <c r="B75" s="1">
        <v>1.1000511E7</v>
      </c>
      <c r="C75" s="1" t="str">
        <f>VLOOKUP(B75,Equipment!A$1:J$575,9,0)</f>
        <v>E</v>
      </c>
      <c r="D75" s="1" t="s">
        <v>1112</v>
      </c>
      <c r="E75" s="1" t="s">
        <v>1113</v>
      </c>
      <c r="F75" s="1" t="s">
        <v>1095</v>
      </c>
      <c r="G75" s="1" t="s">
        <v>1114</v>
      </c>
      <c r="H75" s="1" t="s">
        <v>1007</v>
      </c>
      <c r="I75" s="1" t="s">
        <v>547</v>
      </c>
      <c r="J75" s="1" t="s">
        <v>1115</v>
      </c>
      <c r="K75" s="1" t="s">
        <v>1116</v>
      </c>
      <c r="L75" s="1">
        <v>1.17</v>
      </c>
      <c r="M75" s="1" t="s">
        <v>1007</v>
      </c>
      <c r="N75" s="1" t="s">
        <v>1117</v>
      </c>
      <c r="O75" s="1" t="s">
        <v>121</v>
      </c>
      <c r="P75" s="1">
        <v>1041.0</v>
      </c>
      <c r="Q75" s="1" t="s">
        <v>1007</v>
      </c>
      <c r="R75" s="1" t="s">
        <v>1121</v>
      </c>
      <c r="S75" s="1" t="s">
        <v>882</v>
      </c>
      <c r="T75" s="1" t="s">
        <v>1123</v>
      </c>
      <c r="U75" s="1" t="s">
        <v>71</v>
      </c>
      <c r="V75" s="1" t="s">
        <v>72</v>
      </c>
      <c r="W75" s="1" t="s">
        <v>31</v>
      </c>
      <c r="X75" s="1" t="s">
        <v>1007</v>
      </c>
      <c r="Y75" s="1" t="s">
        <v>1123</v>
      </c>
      <c r="Z75" s="1" t="s">
        <v>51</v>
      </c>
      <c r="AA75" s="1" t="s">
        <v>31</v>
      </c>
      <c r="AB75" s="1" t="s">
        <v>31</v>
      </c>
      <c r="AC75" s="1" t="s">
        <v>656</v>
      </c>
      <c r="AD75" s="1" t="s">
        <v>31</v>
      </c>
      <c r="AE75" s="5"/>
    </row>
    <row r="76" ht="14.25" customHeight="1">
      <c r="A76" s="1" t="s">
        <v>33</v>
      </c>
      <c r="B76" s="1">
        <v>1.1000206E7</v>
      </c>
      <c r="C76" s="1" t="str">
        <f>VLOOKUP(B76,Equipment!A$1:J$575,9,0)</f>
        <v>E</v>
      </c>
      <c r="D76" s="1" t="s">
        <v>1130</v>
      </c>
      <c r="E76" s="1" t="s">
        <v>1131</v>
      </c>
      <c r="F76" s="1" t="s">
        <v>115</v>
      </c>
      <c r="G76" s="1" t="s">
        <v>1133</v>
      </c>
      <c r="H76" s="1" t="s">
        <v>1007</v>
      </c>
      <c r="I76" s="1" t="s">
        <v>1007</v>
      </c>
      <c r="J76" s="1" t="s">
        <v>318</v>
      </c>
      <c r="K76" s="1" t="s">
        <v>456</v>
      </c>
      <c r="L76" s="1">
        <v>2.0</v>
      </c>
      <c r="M76" s="1" t="s">
        <v>1007</v>
      </c>
      <c r="N76" s="1" t="s">
        <v>318</v>
      </c>
      <c r="O76" s="1" t="s">
        <v>121</v>
      </c>
      <c r="P76" s="1">
        <v>2001.0</v>
      </c>
      <c r="Q76" s="1" t="s">
        <v>1007</v>
      </c>
      <c r="R76" s="1" t="s">
        <v>456</v>
      </c>
      <c r="S76" s="1" t="s">
        <v>31</v>
      </c>
      <c r="T76" s="1" t="s">
        <v>73</v>
      </c>
      <c r="U76" s="1" t="s">
        <v>71</v>
      </c>
      <c r="V76" s="1" t="s">
        <v>72</v>
      </c>
      <c r="W76" s="1" t="s">
        <v>31</v>
      </c>
      <c r="X76" s="1" t="s">
        <v>1007</v>
      </c>
      <c r="Y76" s="1" t="s">
        <v>1141</v>
      </c>
      <c r="Z76" s="1" t="s">
        <v>51</v>
      </c>
      <c r="AA76" s="1" t="s">
        <v>31</v>
      </c>
      <c r="AB76" s="1" t="s">
        <v>31</v>
      </c>
      <c r="AC76" s="1" t="s">
        <v>122</v>
      </c>
      <c r="AD76" s="1" t="s">
        <v>31</v>
      </c>
      <c r="AE76" s="5"/>
    </row>
    <row r="77" ht="14.25" customHeight="1">
      <c r="A77" s="1" t="s">
        <v>33</v>
      </c>
      <c r="B77" s="1">
        <v>1.100027E7</v>
      </c>
      <c r="C77" s="1" t="str">
        <f>VLOOKUP(B77,Equipment!A$1:J$575,9,0)</f>
        <v>E</v>
      </c>
      <c r="D77" s="1" t="s">
        <v>1153</v>
      </c>
      <c r="E77" s="1" t="s">
        <v>1154</v>
      </c>
      <c r="F77" s="1" t="s">
        <v>540</v>
      </c>
      <c r="G77" s="1" t="s">
        <v>1155</v>
      </c>
      <c r="H77" s="1" t="s">
        <v>1007</v>
      </c>
      <c r="I77" s="1" t="s">
        <v>1007</v>
      </c>
      <c r="J77" s="1" t="s">
        <v>1156</v>
      </c>
      <c r="K77" s="1" t="s">
        <v>1157</v>
      </c>
      <c r="L77" s="1">
        <v>0.67</v>
      </c>
      <c r="M77" s="1" t="s">
        <v>1007</v>
      </c>
      <c r="N77" s="1" t="s">
        <v>1156</v>
      </c>
      <c r="O77" s="1" t="s">
        <v>491</v>
      </c>
      <c r="P77" s="1">
        <v>2001.0</v>
      </c>
      <c r="Q77" s="1" t="s">
        <v>1007</v>
      </c>
      <c r="R77" s="1" t="s">
        <v>1157</v>
      </c>
      <c r="S77" s="1" t="s">
        <v>31</v>
      </c>
      <c r="T77" s="1" t="s">
        <v>73</v>
      </c>
      <c r="U77" s="1" t="s">
        <v>71</v>
      </c>
      <c r="V77" s="1" t="s">
        <v>72</v>
      </c>
      <c r="W77" s="1" t="s">
        <v>31</v>
      </c>
      <c r="X77" s="1" t="s">
        <v>1007</v>
      </c>
      <c r="Y77" s="1" t="s">
        <v>1162</v>
      </c>
      <c r="Z77" s="1" t="s">
        <v>51</v>
      </c>
      <c r="AA77" s="1" t="s">
        <v>31</v>
      </c>
      <c r="AB77" s="1" t="s">
        <v>31</v>
      </c>
      <c r="AC77" s="1" t="s">
        <v>496</v>
      </c>
      <c r="AD77" s="1" t="s">
        <v>31</v>
      </c>
      <c r="AE77" s="5"/>
    </row>
    <row r="78" ht="14.25" customHeight="1">
      <c r="A78" s="1" t="s">
        <v>33</v>
      </c>
      <c r="B78" s="1">
        <v>1.1000303E7</v>
      </c>
      <c r="C78" s="1" t="str">
        <f>VLOOKUP(B78,Equipment!A$1:J$575,9,0)</f>
        <v>E</v>
      </c>
      <c r="D78" s="1" t="s">
        <v>1172</v>
      </c>
      <c r="E78" s="1" t="s">
        <v>1173</v>
      </c>
      <c r="F78" s="1" t="s">
        <v>621</v>
      </c>
      <c r="G78" s="1" t="s">
        <v>1174</v>
      </c>
      <c r="H78" s="1" t="s">
        <v>1007</v>
      </c>
      <c r="I78" s="1" t="s">
        <v>1007</v>
      </c>
      <c r="J78" s="1" t="s">
        <v>285</v>
      </c>
      <c r="K78" s="1" t="s">
        <v>1175</v>
      </c>
      <c r="L78" s="1">
        <v>2.5</v>
      </c>
      <c r="M78" s="1" t="s">
        <v>1007</v>
      </c>
      <c r="N78" s="1" t="s">
        <v>285</v>
      </c>
      <c r="O78" s="1" t="s">
        <v>1176</v>
      </c>
      <c r="P78" s="1">
        <v>2001.0</v>
      </c>
      <c r="Q78" s="1" t="s">
        <v>1007</v>
      </c>
      <c r="R78" s="1" t="s">
        <v>1175</v>
      </c>
      <c r="S78" s="1" t="s">
        <v>1007</v>
      </c>
      <c r="T78" s="1" t="s">
        <v>1175</v>
      </c>
      <c r="U78" s="1" t="s">
        <v>71</v>
      </c>
      <c r="V78" s="1" t="s">
        <v>72</v>
      </c>
      <c r="W78" s="1" t="s">
        <v>31</v>
      </c>
      <c r="X78" s="1" t="s">
        <v>1007</v>
      </c>
      <c r="Y78" s="1" t="s">
        <v>285</v>
      </c>
      <c r="Z78" s="1" t="s">
        <v>51</v>
      </c>
      <c r="AA78" s="1" t="s">
        <v>31</v>
      </c>
      <c r="AB78" s="1" t="s">
        <v>31</v>
      </c>
      <c r="AC78" s="1" t="s">
        <v>1179</v>
      </c>
      <c r="AD78" s="1" t="s">
        <v>31</v>
      </c>
      <c r="AE78" s="5"/>
    </row>
    <row r="79" ht="14.25" customHeight="1">
      <c r="A79" s="1" t="s">
        <v>33</v>
      </c>
      <c r="B79" s="1">
        <v>1.1000327E7</v>
      </c>
      <c r="C79" s="1" t="str">
        <f>VLOOKUP(B79,Equipment!A$1:J$575,9,0)</f>
        <v>E</v>
      </c>
      <c r="D79" s="1" t="s">
        <v>1180</v>
      </c>
      <c r="E79" s="1" t="s">
        <v>1181</v>
      </c>
      <c r="F79" s="1" t="s">
        <v>533</v>
      </c>
      <c r="G79" s="1" t="s">
        <v>1183</v>
      </c>
      <c r="H79" s="1" t="s">
        <v>1007</v>
      </c>
      <c r="I79" s="1" t="s">
        <v>1007</v>
      </c>
      <c r="J79" s="1" t="s">
        <v>456</v>
      </c>
      <c r="K79" s="1" t="s">
        <v>271</v>
      </c>
      <c r="L79" s="1">
        <v>1.0</v>
      </c>
      <c r="M79" s="1" t="s">
        <v>1007</v>
      </c>
      <c r="N79" s="1" t="s">
        <v>456</v>
      </c>
      <c r="O79" s="1" t="s">
        <v>131</v>
      </c>
      <c r="P79" s="1">
        <v>2001.0</v>
      </c>
      <c r="Q79" s="1" t="s">
        <v>1007</v>
      </c>
      <c r="R79" s="1" t="s">
        <v>271</v>
      </c>
      <c r="S79" s="1" t="s">
        <v>31</v>
      </c>
      <c r="T79" s="1" t="s">
        <v>73</v>
      </c>
      <c r="U79" s="1" t="s">
        <v>71</v>
      </c>
      <c r="V79" s="1" t="s">
        <v>72</v>
      </c>
      <c r="W79" s="1" t="s">
        <v>31</v>
      </c>
      <c r="X79" s="1" t="s">
        <v>1007</v>
      </c>
      <c r="Y79" s="1" t="s">
        <v>1190</v>
      </c>
      <c r="Z79" s="1" t="s">
        <v>51</v>
      </c>
      <c r="AA79" s="1" t="s">
        <v>31</v>
      </c>
      <c r="AB79" s="1" t="s">
        <v>31</v>
      </c>
      <c r="AC79" s="1" t="s">
        <v>538</v>
      </c>
      <c r="AD79" s="1" t="s">
        <v>31</v>
      </c>
      <c r="AE79" s="5"/>
    </row>
    <row r="80" ht="14.25" customHeight="1">
      <c r="A80" s="1" t="s">
        <v>33</v>
      </c>
      <c r="B80" s="1">
        <v>1.1000385E7</v>
      </c>
      <c r="C80" s="1" t="str">
        <f>VLOOKUP(B80,Equipment!A$1:J$575,9,0)</f>
        <v>E</v>
      </c>
      <c r="D80" s="1" t="s">
        <v>1198</v>
      </c>
      <c r="E80" s="1" t="s">
        <v>1199</v>
      </c>
      <c r="F80" s="1" t="s">
        <v>877</v>
      </c>
      <c r="G80" s="1" t="s">
        <v>1200</v>
      </c>
      <c r="H80" s="1" t="s">
        <v>1201</v>
      </c>
      <c r="I80" s="1" t="s">
        <v>1202</v>
      </c>
      <c r="J80" s="1" t="s">
        <v>1203</v>
      </c>
      <c r="K80" s="1" t="s">
        <v>1204</v>
      </c>
      <c r="L80" s="1">
        <v>3.65</v>
      </c>
      <c r="M80" s="1" t="s">
        <v>1201</v>
      </c>
      <c r="N80" s="1" t="s">
        <v>1203</v>
      </c>
      <c r="O80" s="1" t="s">
        <v>68</v>
      </c>
      <c r="P80" s="1">
        <v>1041.0</v>
      </c>
      <c r="Q80" s="1" t="s">
        <v>1202</v>
      </c>
      <c r="R80" s="1" t="s">
        <v>1204</v>
      </c>
      <c r="S80" s="1" t="s">
        <v>547</v>
      </c>
      <c r="T80" s="1" t="s">
        <v>1206</v>
      </c>
      <c r="U80" s="1" t="s">
        <v>71</v>
      </c>
      <c r="V80" s="1" t="s">
        <v>72</v>
      </c>
      <c r="W80" s="1" t="s">
        <v>31</v>
      </c>
      <c r="X80" s="1" t="s">
        <v>31</v>
      </c>
      <c r="Y80" s="1" t="s">
        <v>73</v>
      </c>
      <c r="Z80" s="1" t="s">
        <v>51</v>
      </c>
      <c r="AA80" s="1" t="s">
        <v>31</v>
      </c>
      <c r="AB80" s="1" t="s">
        <v>31</v>
      </c>
      <c r="AC80" s="1" t="s">
        <v>74</v>
      </c>
      <c r="AD80" s="1" t="s">
        <v>31</v>
      </c>
      <c r="AE80" s="5"/>
    </row>
    <row r="81" ht="14.25" customHeight="1">
      <c r="A81" s="1" t="s">
        <v>33</v>
      </c>
      <c r="B81" s="1">
        <v>1.1000387E7</v>
      </c>
      <c r="C81" s="1" t="str">
        <f>VLOOKUP(B81,Equipment!A$1:J$575,9,0)</f>
        <v>#N/A</v>
      </c>
      <c r="D81" s="1" t="s">
        <v>1216</v>
      </c>
      <c r="E81" s="1" t="s">
        <v>1218</v>
      </c>
      <c r="F81" s="1" t="s">
        <v>255</v>
      </c>
      <c r="G81" s="1" t="s">
        <v>1221</v>
      </c>
      <c r="H81" s="1" t="s">
        <v>1201</v>
      </c>
      <c r="I81" s="1" t="s">
        <v>1201</v>
      </c>
      <c r="J81" s="1" t="s">
        <v>482</v>
      </c>
      <c r="K81" s="1" t="s">
        <v>1223</v>
      </c>
      <c r="L81" s="1">
        <v>5.0</v>
      </c>
      <c r="M81" s="1" t="s">
        <v>1201</v>
      </c>
      <c r="N81" s="1" t="s">
        <v>1224</v>
      </c>
      <c r="O81" s="1" t="s">
        <v>68</v>
      </c>
      <c r="P81" s="1">
        <v>1041.0</v>
      </c>
      <c r="Q81" s="1" t="s">
        <v>1201</v>
      </c>
      <c r="R81" s="1" t="s">
        <v>1223</v>
      </c>
      <c r="S81" s="1" t="s">
        <v>547</v>
      </c>
      <c r="T81" s="1" t="s">
        <v>1226</v>
      </c>
      <c r="U81" s="1" t="s">
        <v>71</v>
      </c>
      <c r="V81" s="1" t="s">
        <v>72</v>
      </c>
      <c r="W81" s="1" t="s">
        <v>31</v>
      </c>
      <c r="X81" s="1" t="s">
        <v>31</v>
      </c>
      <c r="Y81" s="1" t="s">
        <v>73</v>
      </c>
      <c r="Z81" s="1" t="s">
        <v>51</v>
      </c>
      <c r="AA81" s="1" t="s">
        <v>31</v>
      </c>
      <c r="AB81" s="1" t="s">
        <v>31</v>
      </c>
      <c r="AC81" s="1" t="s">
        <v>74</v>
      </c>
      <c r="AD81" s="1" t="s">
        <v>31</v>
      </c>
      <c r="AE81" s="5"/>
    </row>
    <row r="82" ht="14.25" customHeight="1">
      <c r="A82" s="1" t="s">
        <v>33</v>
      </c>
      <c r="B82" s="1">
        <v>1.1000439E7</v>
      </c>
      <c r="C82" s="1" t="str">
        <f>VLOOKUP(B82,Equipment!A$1:J$575,9,0)</f>
        <v>E</v>
      </c>
      <c r="D82" s="1" t="s">
        <v>1230</v>
      </c>
      <c r="E82" s="1" t="s">
        <v>1231</v>
      </c>
      <c r="F82" s="1" t="s">
        <v>894</v>
      </c>
      <c r="G82" s="1" t="s">
        <v>1232</v>
      </c>
      <c r="H82" s="1" t="s">
        <v>1201</v>
      </c>
      <c r="I82" s="1" t="s">
        <v>1201</v>
      </c>
      <c r="J82" s="1" t="s">
        <v>119</v>
      </c>
      <c r="K82" s="1" t="s">
        <v>1234</v>
      </c>
      <c r="L82" s="1">
        <v>3.0</v>
      </c>
      <c r="M82" s="1" t="s">
        <v>1201</v>
      </c>
      <c r="N82" s="1" t="s">
        <v>1235</v>
      </c>
      <c r="O82" s="1" t="s">
        <v>68</v>
      </c>
      <c r="P82" s="1">
        <v>1041.0</v>
      </c>
      <c r="Q82" s="1" t="s">
        <v>1201</v>
      </c>
      <c r="R82" s="1" t="s">
        <v>1234</v>
      </c>
      <c r="S82" s="1" t="s">
        <v>1007</v>
      </c>
      <c r="T82" s="1" t="s">
        <v>1238</v>
      </c>
      <c r="U82" s="1" t="s">
        <v>71</v>
      </c>
      <c r="V82" s="1" t="s">
        <v>72</v>
      </c>
      <c r="W82" s="1" t="s">
        <v>31</v>
      </c>
      <c r="X82" s="1" t="s">
        <v>1201</v>
      </c>
      <c r="Y82" s="1" t="s">
        <v>1238</v>
      </c>
      <c r="Z82" s="1" t="s">
        <v>51</v>
      </c>
      <c r="AA82" s="1" t="s">
        <v>31</v>
      </c>
      <c r="AB82" s="1" t="s">
        <v>31</v>
      </c>
      <c r="AC82" s="1" t="s">
        <v>74</v>
      </c>
      <c r="AD82" s="1" t="s">
        <v>31</v>
      </c>
      <c r="AE82" s="5"/>
    </row>
    <row r="83" ht="14.25" customHeight="1">
      <c r="A83" s="1" t="s">
        <v>33</v>
      </c>
      <c r="B83" s="1">
        <v>1.1000449E7</v>
      </c>
      <c r="C83" s="1" t="str">
        <f>VLOOKUP(B83,Equipment!A$1:J$575,9,0)</f>
        <v>E</v>
      </c>
      <c r="D83" s="1" t="s">
        <v>1244</v>
      </c>
      <c r="E83" s="1" t="s">
        <v>1245</v>
      </c>
      <c r="F83" s="1" t="s">
        <v>160</v>
      </c>
      <c r="G83" s="1" t="s">
        <v>1246</v>
      </c>
      <c r="H83" s="1" t="s">
        <v>1201</v>
      </c>
      <c r="I83" s="1" t="s">
        <v>1201</v>
      </c>
      <c r="J83" s="1" t="s">
        <v>1249</v>
      </c>
      <c r="K83" s="1" t="s">
        <v>1250</v>
      </c>
      <c r="L83" s="1">
        <v>0.41</v>
      </c>
      <c r="M83" s="1" t="s">
        <v>1201</v>
      </c>
      <c r="N83" s="1" t="s">
        <v>1249</v>
      </c>
      <c r="O83" s="1" t="s">
        <v>68</v>
      </c>
      <c r="P83" s="1">
        <v>1041.0</v>
      </c>
      <c r="Q83" s="1" t="s">
        <v>1201</v>
      </c>
      <c r="R83" s="1" t="s">
        <v>1250</v>
      </c>
      <c r="S83" s="1" t="s">
        <v>1007</v>
      </c>
      <c r="T83" s="1" t="s">
        <v>1251</v>
      </c>
      <c r="U83" s="1" t="s">
        <v>71</v>
      </c>
      <c r="V83" s="1" t="s">
        <v>72</v>
      </c>
      <c r="W83" s="1" t="s">
        <v>31</v>
      </c>
      <c r="X83" s="1" t="s">
        <v>31</v>
      </c>
      <c r="Y83" s="1" t="s">
        <v>73</v>
      </c>
      <c r="Z83" s="1" t="s">
        <v>51</v>
      </c>
      <c r="AA83" s="1" t="s">
        <v>31</v>
      </c>
      <c r="AB83" s="1" t="s">
        <v>31</v>
      </c>
      <c r="AC83" s="1" t="s">
        <v>74</v>
      </c>
      <c r="AD83" s="1" t="s">
        <v>31</v>
      </c>
      <c r="AE83" s="5"/>
    </row>
    <row r="84" ht="14.25" customHeight="1">
      <c r="A84" s="1" t="s">
        <v>33</v>
      </c>
      <c r="B84" s="1">
        <v>1.1000511E7</v>
      </c>
      <c r="C84" s="1" t="str">
        <f>VLOOKUP(B84,Equipment!A$1:J$575,9,0)</f>
        <v>E</v>
      </c>
      <c r="D84" s="1" t="s">
        <v>1256</v>
      </c>
      <c r="E84" s="1" t="s">
        <v>1258</v>
      </c>
      <c r="F84" s="1" t="s">
        <v>1095</v>
      </c>
      <c r="G84" s="1" t="s">
        <v>1259</v>
      </c>
      <c r="H84" s="1" t="s">
        <v>1201</v>
      </c>
      <c r="I84" s="1" t="s">
        <v>1201</v>
      </c>
      <c r="J84" s="1" t="s">
        <v>297</v>
      </c>
      <c r="K84" s="1" t="s">
        <v>1261</v>
      </c>
      <c r="L84" s="1">
        <v>0.5</v>
      </c>
      <c r="M84" s="1" t="s">
        <v>1201</v>
      </c>
      <c r="N84" s="1" t="s">
        <v>1263</v>
      </c>
      <c r="O84" s="1" t="s">
        <v>121</v>
      </c>
      <c r="P84" s="1">
        <v>1041.0</v>
      </c>
      <c r="Q84" s="1" t="s">
        <v>1201</v>
      </c>
      <c r="R84" s="1" t="s">
        <v>1261</v>
      </c>
      <c r="S84" s="1" t="s">
        <v>31</v>
      </c>
      <c r="T84" s="1" t="s">
        <v>73</v>
      </c>
      <c r="U84" s="1" t="s">
        <v>71</v>
      </c>
      <c r="V84" s="1" t="s">
        <v>72</v>
      </c>
      <c r="W84" s="1" t="s">
        <v>31</v>
      </c>
      <c r="X84" s="1" t="s">
        <v>1201</v>
      </c>
      <c r="Y84" s="1" t="s">
        <v>1263</v>
      </c>
      <c r="Z84" s="1" t="s">
        <v>51</v>
      </c>
      <c r="AA84" s="1" t="s">
        <v>31</v>
      </c>
      <c r="AB84" s="1" t="s">
        <v>31</v>
      </c>
      <c r="AC84" s="1" t="s">
        <v>656</v>
      </c>
      <c r="AD84" s="1" t="s">
        <v>31</v>
      </c>
      <c r="AE84" s="5"/>
    </row>
    <row r="85" ht="14.25" customHeight="1">
      <c r="A85" s="1" t="s">
        <v>33</v>
      </c>
      <c r="B85" s="1">
        <v>1.1001327E7</v>
      </c>
      <c r="C85" s="1" t="str">
        <f>VLOOKUP(B85,Equipment!A$1:J$575,9,0)</f>
        <v>E</v>
      </c>
      <c r="D85" s="1" t="s">
        <v>1275</v>
      </c>
      <c r="E85" s="1" t="s">
        <v>1276</v>
      </c>
      <c r="F85" s="1" t="s">
        <v>1277</v>
      </c>
      <c r="G85" s="1" t="s">
        <v>1278</v>
      </c>
      <c r="H85" s="1" t="s">
        <v>1201</v>
      </c>
      <c r="I85" s="1" t="s">
        <v>1201</v>
      </c>
      <c r="J85" s="1" t="s">
        <v>1279</v>
      </c>
      <c r="K85" s="1" t="s">
        <v>1280</v>
      </c>
      <c r="L85" s="1">
        <v>2.17</v>
      </c>
      <c r="M85" s="1" t="s">
        <v>1201</v>
      </c>
      <c r="N85" s="1" t="s">
        <v>1283</v>
      </c>
      <c r="O85" s="1" t="s">
        <v>68</v>
      </c>
      <c r="P85" s="1">
        <v>1041.0</v>
      </c>
      <c r="Q85" s="1" t="s">
        <v>1201</v>
      </c>
      <c r="R85" s="1" t="s">
        <v>1280</v>
      </c>
      <c r="S85" s="1" t="s">
        <v>1007</v>
      </c>
      <c r="T85" s="1" t="s">
        <v>1284</v>
      </c>
      <c r="U85" s="1" t="s">
        <v>71</v>
      </c>
      <c r="V85" s="1" t="s">
        <v>72</v>
      </c>
      <c r="W85" s="1" t="s">
        <v>31</v>
      </c>
      <c r="X85" s="1" t="s">
        <v>31</v>
      </c>
      <c r="Y85" s="1" t="s">
        <v>73</v>
      </c>
      <c r="Z85" s="1" t="s">
        <v>51</v>
      </c>
      <c r="AA85" s="1" t="s">
        <v>31</v>
      </c>
      <c r="AB85" s="1" t="s">
        <v>31</v>
      </c>
      <c r="AC85" s="1" t="s">
        <v>74</v>
      </c>
      <c r="AD85" s="1" t="s">
        <v>31</v>
      </c>
      <c r="AE85" s="5"/>
    </row>
    <row r="86" ht="14.25" customHeight="1">
      <c r="A86" s="1" t="s">
        <v>33</v>
      </c>
      <c r="B86" s="1">
        <v>1.1000208E7</v>
      </c>
      <c r="C86" s="1" t="str">
        <f>VLOOKUP(B86,Equipment!A$1:J$575,9,0)</f>
        <v>E</v>
      </c>
      <c r="D86" s="1" t="s">
        <v>1296</v>
      </c>
      <c r="E86" s="1" t="s">
        <v>1297</v>
      </c>
      <c r="F86" s="1" t="s">
        <v>316</v>
      </c>
      <c r="G86" s="1" t="s">
        <v>1298</v>
      </c>
      <c r="H86" s="1" t="s">
        <v>1201</v>
      </c>
      <c r="I86" s="1" t="s">
        <v>1201</v>
      </c>
      <c r="J86" s="1" t="s">
        <v>1299</v>
      </c>
      <c r="K86" s="1" t="s">
        <v>1300</v>
      </c>
      <c r="L86" s="1">
        <v>1.08</v>
      </c>
      <c r="M86" s="1" t="s">
        <v>1201</v>
      </c>
      <c r="N86" s="1" t="s">
        <v>1299</v>
      </c>
      <c r="O86" s="1" t="s">
        <v>131</v>
      </c>
      <c r="P86" s="1">
        <v>2001.0</v>
      </c>
      <c r="Q86" s="1" t="s">
        <v>1201</v>
      </c>
      <c r="R86" s="1" t="s">
        <v>1302</v>
      </c>
      <c r="S86" s="1" t="s">
        <v>1201</v>
      </c>
      <c r="T86" s="1" t="s">
        <v>1303</v>
      </c>
      <c r="U86" s="1" t="s">
        <v>71</v>
      </c>
      <c r="V86" s="1" t="s">
        <v>72</v>
      </c>
      <c r="W86" s="1" t="s">
        <v>31</v>
      </c>
      <c r="X86" s="1" t="s">
        <v>1201</v>
      </c>
      <c r="Y86" s="1" t="s">
        <v>1299</v>
      </c>
      <c r="Z86" s="1" t="s">
        <v>51</v>
      </c>
      <c r="AA86" s="1" t="s">
        <v>31</v>
      </c>
      <c r="AB86" s="1" t="s">
        <v>31</v>
      </c>
      <c r="AC86" s="1" t="s">
        <v>137</v>
      </c>
      <c r="AD86" s="1" t="s">
        <v>31</v>
      </c>
      <c r="AE86" s="5"/>
    </row>
    <row r="87" ht="14.25" customHeight="1">
      <c r="A87" s="1" t="s">
        <v>33</v>
      </c>
      <c r="B87" s="1">
        <v>1.1001255E7</v>
      </c>
      <c r="C87" s="1" t="str">
        <f>VLOOKUP(B87,Equipment!A$1:J$575,9,0)</f>
        <v>E</v>
      </c>
      <c r="D87" s="1" t="s">
        <v>1310</v>
      </c>
      <c r="E87" s="1" t="s">
        <v>1313</v>
      </c>
      <c r="F87" s="1" t="s">
        <v>1314</v>
      </c>
      <c r="G87" s="1" t="s">
        <v>1316</v>
      </c>
      <c r="H87" s="1" t="s">
        <v>1317</v>
      </c>
      <c r="I87" s="1" t="s">
        <v>1317</v>
      </c>
      <c r="J87" s="1" t="s">
        <v>1318</v>
      </c>
      <c r="K87" s="1" t="s">
        <v>456</v>
      </c>
      <c r="L87" s="1">
        <v>0.04</v>
      </c>
      <c r="M87" s="1" t="s">
        <v>1317</v>
      </c>
      <c r="N87" s="1" t="s">
        <v>1318</v>
      </c>
      <c r="O87" s="1" t="s">
        <v>1132</v>
      </c>
      <c r="P87" s="1">
        <v>1001.0</v>
      </c>
      <c r="Q87" s="1" t="s">
        <v>1317</v>
      </c>
      <c r="R87" s="1" t="s">
        <v>456</v>
      </c>
      <c r="S87" s="1" t="s">
        <v>31</v>
      </c>
      <c r="T87" s="1" t="s">
        <v>73</v>
      </c>
      <c r="U87" s="1" t="s">
        <v>71</v>
      </c>
      <c r="V87" s="1" t="s">
        <v>72</v>
      </c>
      <c r="W87" s="1" t="s">
        <v>31</v>
      </c>
      <c r="X87" s="1" t="s">
        <v>1317</v>
      </c>
      <c r="Y87" s="1" t="s">
        <v>1318</v>
      </c>
      <c r="Z87" s="1" t="s">
        <v>51</v>
      </c>
      <c r="AA87" s="1" t="s">
        <v>31</v>
      </c>
      <c r="AB87" s="1" t="s">
        <v>31</v>
      </c>
      <c r="AC87" s="1" t="s">
        <v>1321</v>
      </c>
      <c r="AD87" s="1" t="s">
        <v>31</v>
      </c>
      <c r="AE87" s="5"/>
    </row>
    <row r="88" ht="14.25" customHeight="1">
      <c r="A88" s="1" t="s">
        <v>33</v>
      </c>
      <c r="B88" s="1">
        <v>1.1000551E7</v>
      </c>
      <c r="C88" s="1" t="str">
        <f>VLOOKUP(B88,Equipment!A$1:J$575,9,0)</f>
        <v>E</v>
      </c>
      <c r="D88" s="1" t="s">
        <v>1327</v>
      </c>
      <c r="E88" s="1" t="s">
        <v>1329</v>
      </c>
      <c r="F88" s="1" t="s">
        <v>217</v>
      </c>
      <c r="G88" s="1" t="s">
        <v>1330</v>
      </c>
      <c r="H88" s="1" t="s">
        <v>1317</v>
      </c>
      <c r="I88" s="1" t="s">
        <v>1317</v>
      </c>
      <c r="J88" s="1" t="s">
        <v>1332</v>
      </c>
      <c r="K88" s="1" t="s">
        <v>1333</v>
      </c>
      <c r="L88" s="1">
        <v>1.83</v>
      </c>
      <c r="M88" s="1" t="s">
        <v>1317</v>
      </c>
      <c r="N88" s="1" t="s">
        <v>1337</v>
      </c>
      <c r="O88" s="1" t="s">
        <v>223</v>
      </c>
      <c r="P88" s="1">
        <v>1031.0</v>
      </c>
      <c r="Q88" s="1" t="s">
        <v>1317</v>
      </c>
      <c r="R88" s="1" t="s">
        <v>1333</v>
      </c>
      <c r="S88" s="1" t="s">
        <v>31</v>
      </c>
      <c r="T88" s="1" t="s">
        <v>73</v>
      </c>
      <c r="U88" s="1" t="s">
        <v>71</v>
      </c>
      <c r="V88" s="1" t="s">
        <v>72</v>
      </c>
      <c r="W88" s="1" t="s">
        <v>31</v>
      </c>
      <c r="X88" s="1" t="s">
        <v>1317</v>
      </c>
      <c r="Y88" s="1" t="s">
        <v>1337</v>
      </c>
      <c r="Z88" s="1" t="s">
        <v>51</v>
      </c>
      <c r="AA88" s="1" t="s">
        <v>31</v>
      </c>
      <c r="AB88" s="1" t="s">
        <v>31</v>
      </c>
      <c r="AC88" s="1" t="s">
        <v>227</v>
      </c>
      <c r="AD88" s="1" t="s">
        <v>31</v>
      </c>
      <c r="AE88" s="5"/>
    </row>
    <row r="89" ht="14.25" customHeight="1">
      <c r="A89" s="1" t="s">
        <v>33</v>
      </c>
      <c r="B89" s="1">
        <v>1.1000389E7</v>
      </c>
      <c r="C89" s="1" t="str">
        <f>VLOOKUP(B89,Equipment!A$1:J$575,9,0)</f>
        <v>E</v>
      </c>
      <c r="D89" s="1" t="s">
        <v>1346</v>
      </c>
      <c r="E89" s="1" t="s">
        <v>1347</v>
      </c>
      <c r="F89" s="1" t="s">
        <v>60</v>
      </c>
      <c r="G89" s="1" t="s">
        <v>1348</v>
      </c>
      <c r="H89" s="1" t="s">
        <v>1317</v>
      </c>
      <c r="I89" s="1" t="s">
        <v>1317</v>
      </c>
      <c r="J89" s="1" t="s">
        <v>852</v>
      </c>
      <c r="K89" s="1" t="s">
        <v>1352</v>
      </c>
      <c r="L89" s="1">
        <v>1.5</v>
      </c>
      <c r="M89" s="1" t="s">
        <v>1212</v>
      </c>
      <c r="N89" s="1" t="s">
        <v>1354</v>
      </c>
      <c r="O89" s="1" t="s">
        <v>68</v>
      </c>
      <c r="P89" s="1">
        <v>1041.0</v>
      </c>
      <c r="Q89" s="1" t="s">
        <v>1030</v>
      </c>
      <c r="R89" s="1" t="s">
        <v>1357</v>
      </c>
      <c r="S89" s="1" t="s">
        <v>1027</v>
      </c>
      <c r="T89" s="1" t="s">
        <v>1359</v>
      </c>
      <c r="U89" s="1" t="s">
        <v>71</v>
      </c>
      <c r="V89" s="1" t="s">
        <v>72</v>
      </c>
      <c r="W89" s="1" t="s">
        <v>31</v>
      </c>
      <c r="X89" s="1" t="s">
        <v>1212</v>
      </c>
      <c r="Y89" s="1" t="s">
        <v>1359</v>
      </c>
      <c r="Z89" s="1" t="s">
        <v>51</v>
      </c>
      <c r="AA89" s="1" t="s">
        <v>31</v>
      </c>
      <c r="AB89" s="1" t="s">
        <v>31</v>
      </c>
      <c r="AC89" s="1" t="s">
        <v>74</v>
      </c>
      <c r="AD89" s="1" t="s">
        <v>31</v>
      </c>
      <c r="AE89" s="5"/>
    </row>
    <row r="90" ht="14.25" customHeight="1">
      <c r="A90" s="1" t="s">
        <v>33</v>
      </c>
      <c r="B90" s="1">
        <v>1.1000389E7</v>
      </c>
      <c r="C90" s="1" t="str">
        <f>VLOOKUP(B90,Equipment!A$1:J$575,9,0)</f>
        <v>E</v>
      </c>
      <c r="D90" s="1" t="s">
        <v>1365</v>
      </c>
      <c r="E90" s="1" t="s">
        <v>1366</v>
      </c>
      <c r="F90" s="1" t="s">
        <v>60</v>
      </c>
      <c r="G90" s="1" t="s">
        <v>1369</v>
      </c>
      <c r="H90" s="1" t="s">
        <v>1317</v>
      </c>
      <c r="I90" s="1" t="s">
        <v>548</v>
      </c>
      <c r="J90" s="1" t="s">
        <v>1371</v>
      </c>
      <c r="K90" s="1" t="s">
        <v>1372</v>
      </c>
      <c r="L90" s="1">
        <v>0.44</v>
      </c>
      <c r="M90" s="1" t="s">
        <v>1317</v>
      </c>
      <c r="N90" s="1" t="s">
        <v>1371</v>
      </c>
      <c r="O90" s="1" t="s">
        <v>68</v>
      </c>
      <c r="P90" s="1">
        <v>1041.0</v>
      </c>
      <c r="Q90" s="1" t="s">
        <v>548</v>
      </c>
      <c r="R90" s="1" t="s">
        <v>1372</v>
      </c>
      <c r="S90" s="1" t="s">
        <v>730</v>
      </c>
      <c r="T90" s="1" t="s">
        <v>1380</v>
      </c>
      <c r="U90" s="1" t="s">
        <v>71</v>
      </c>
      <c r="V90" s="1" t="s">
        <v>72</v>
      </c>
      <c r="W90" s="1" t="s">
        <v>31</v>
      </c>
      <c r="X90" s="1" t="s">
        <v>31</v>
      </c>
      <c r="Y90" s="1" t="s">
        <v>73</v>
      </c>
      <c r="Z90" s="1" t="s">
        <v>51</v>
      </c>
      <c r="AA90" s="1" t="s">
        <v>31</v>
      </c>
      <c r="AB90" s="1" t="s">
        <v>31</v>
      </c>
      <c r="AC90" s="1" t="s">
        <v>74</v>
      </c>
      <c r="AD90" s="1" t="s">
        <v>31</v>
      </c>
      <c r="AE90" s="5"/>
    </row>
    <row r="91" ht="14.25" customHeight="1">
      <c r="A91" s="1" t="s">
        <v>33</v>
      </c>
      <c r="B91" s="1">
        <v>1.1000449E7</v>
      </c>
      <c r="C91" s="1" t="str">
        <f>VLOOKUP(B91,Equipment!A$1:J$575,9,0)</f>
        <v>E</v>
      </c>
      <c r="D91" s="1" t="s">
        <v>1386</v>
      </c>
      <c r="E91" s="1" t="s">
        <v>1388</v>
      </c>
      <c r="F91" s="1" t="s">
        <v>160</v>
      </c>
      <c r="G91" s="1" t="s">
        <v>1392</v>
      </c>
      <c r="H91" s="1" t="s">
        <v>1317</v>
      </c>
      <c r="I91" s="1" t="s">
        <v>31</v>
      </c>
      <c r="J91" s="1" t="s">
        <v>1393</v>
      </c>
      <c r="K91" s="1" t="s">
        <v>73</v>
      </c>
      <c r="L91" s="1">
        <v>0.0</v>
      </c>
      <c r="M91" s="1" t="s">
        <v>1317</v>
      </c>
      <c r="N91" s="1" t="s">
        <v>1393</v>
      </c>
      <c r="O91" s="1" t="s">
        <v>68</v>
      </c>
      <c r="P91" s="1">
        <v>1041.0</v>
      </c>
      <c r="Q91" s="1" t="s">
        <v>1317</v>
      </c>
      <c r="R91" s="1" t="s">
        <v>1395</v>
      </c>
      <c r="S91" s="1" t="s">
        <v>1201</v>
      </c>
      <c r="T91" s="1" t="s">
        <v>1396</v>
      </c>
      <c r="U91" s="1" t="s">
        <v>71</v>
      </c>
      <c r="V91" s="1" t="s">
        <v>72</v>
      </c>
      <c r="W91" s="1" t="s">
        <v>31</v>
      </c>
      <c r="X91" s="1" t="s">
        <v>31</v>
      </c>
      <c r="Y91" s="1" t="s">
        <v>73</v>
      </c>
      <c r="Z91" s="1" t="s">
        <v>51</v>
      </c>
      <c r="AA91" s="1" t="s">
        <v>31</v>
      </c>
      <c r="AB91" s="1" t="s">
        <v>31</v>
      </c>
      <c r="AC91" s="1" t="s">
        <v>74</v>
      </c>
      <c r="AD91" s="1" t="s">
        <v>31</v>
      </c>
      <c r="AE91" s="5"/>
    </row>
    <row r="92" ht="14.25" customHeight="1">
      <c r="A92" s="1" t="s">
        <v>33</v>
      </c>
      <c r="B92" s="1">
        <v>1.1000454E7</v>
      </c>
      <c r="C92" s="1" t="str">
        <f>VLOOKUP(B92,Equipment!A$1:J$575,9,0)</f>
        <v>E</v>
      </c>
      <c r="D92" s="1" t="s">
        <v>1402</v>
      </c>
      <c r="E92" s="1" t="s">
        <v>1403</v>
      </c>
      <c r="F92" s="1" t="s">
        <v>294</v>
      </c>
      <c r="G92" s="1" t="s">
        <v>1406</v>
      </c>
      <c r="H92" s="1" t="s">
        <v>1317</v>
      </c>
      <c r="I92" s="1" t="s">
        <v>1317</v>
      </c>
      <c r="J92" s="1" t="s">
        <v>1115</v>
      </c>
      <c r="K92" s="1" t="s">
        <v>1408</v>
      </c>
      <c r="L92" s="1">
        <v>0.5</v>
      </c>
      <c r="M92" s="1" t="s">
        <v>1317</v>
      </c>
      <c r="N92" s="1" t="s">
        <v>1409</v>
      </c>
      <c r="O92" s="1" t="s">
        <v>68</v>
      </c>
      <c r="P92" s="1">
        <v>1041.0</v>
      </c>
      <c r="Q92" s="1" t="s">
        <v>1317</v>
      </c>
      <c r="R92" s="1" t="s">
        <v>1408</v>
      </c>
      <c r="S92" s="1" t="s">
        <v>1201</v>
      </c>
      <c r="T92" s="1" t="s">
        <v>1410</v>
      </c>
      <c r="U92" s="1" t="s">
        <v>71</v>
      </c>
      <c r="V92" s="1" t="s">
        <v>72</v>
      </c>
      <c r="W92" s="1" t="s">
        <v>31</v>
      </c>
      <c r="X92" s="1" t="s">
        <v>31</v>
      </c>
      <c r="Y92" s="1" t="s">
        <v>73</v>
      </c>
      <c r="Z92" s="1" t="s">
        <v>51</v>
      </c>
      <c r="AA92" s="1" t="s">
        <v>31</v>
      </c>
      <c r="AB92" s="1" t="s">
        <v>31</v>
      </c>
      <c r="AC92" s="1" t="s">
        <v>74</v>
      </c>
      <c r="AD92" s="1" t="s">
        <v>31</v>
      </c>
      <c r="AE92" s="5"/>
    </row>
    <row r="93" ht="14.25" customHeight="1">
      <c r="A93" s="1" t="s">
        <v>33</v>
      </c>
      <c r="B93" s="1">
        <v>1.1000254E7</v>
      </c>
      <c r="C93" s="1" t="str">
        <f>VLOOKUP(B93,Equipment!A$1:J$575,9,0)</f>
        <v>E</v>
      </c>
      <c r="D93" s="1" t="s">
        <v>1420</v>
      </c>
      <c r="E93" s="1" t="s">
        <v>1421</v>
      </c>
      <c r="F93" s="1" t="s">
        <v>477</v>
      </c>
      <c r="G93" s="1" t="s">
        <v>1422</v>
      </c>
      <c r="H93" s="1" t="s">
        <v>1317</v>
      </c>
      <c r="I93" s="1" t="s">
        <v>1317</v>
      </c>
      <c r="J93" s="1" t="s">
        <v>1423</v>
      </c>
      <c r="K93" s="1" t="s">
        <v>1424</v>
      </c>
      <c r="L93" s="1">
        <v>0.96</v>
      </c>
      <c r="M93" s="1" t="s">
        <v>1317</v>
      </c>
      <c r="N93" s="1" t="s">
        <v>1423</v>
      </c>
      <c r="O93" s="1" t="s">
        <v>131</v>
      </c>
      <c r="P93" s="1">
        <v>2001.0</v>
      </c>
      <c r="Q93" s="1" t="s">
        <v>1317</v>
      </c>
      <c r="R93" s="1" t="s">
        <v>1425</v>
      </c>
      <c r="S93" s="1" t="s">
        <v>31</v>
      </c>
      <c r="T93" s="1" t="s">
        <v>73</v>
      </c>
      <c r="U93" s="1" t="s">
        <v>71</v>
      </c>
      <c r="V93" s="1" t="s">
        <v>72</v>
      </c>
      <c r="W93" s="1" t="s">
        <v>31</v>
      </c>
      <c r="X93" s="1" t="s">
        <v>1317</v>
      </c>
      <c r="Y93" s="1" t="s">
        <v>1423</v>
      </c>
      <c r="Z93" s="1" t="s">
        <v>51</v>
      </c>
      <c r="AA93" s="1" t="s">
        <v>31</v>
      </c>
      <c r="AB93" s="1" t="s">
        <v>31</v>
      </c>
      <c r="AC93" s="1" t="s">
        <v>137</v>
      </c>
      <c r="AD93" s="1" t="s">
        <v>31</v>
      </c>
      <c r="AE93" s="5"/>
    </row>
    <row r="94" ht="14.25" customHeight="1">
      <c r="A94" s="1" t="s">
        <v>33</v>
      </c>
      <c r="B94" s="1">
        <v>1.1000254E7</v>
      </c>
      <c r="C94" s="1" t="str">
        <f>VLOOKUP(B94,Equipment!A$1:J$575,9,0)</f>
        <v>E</v>
      </c>
      <c r="D94" s="1" t="s">
        <v>1433</v>
      </c>
      <c r="E94" s="1" t="s">
        <v>1434</v>
      </c>
      <c r="F94" s="1" t="s">
        <v>477</v>
      </c>
      <c r="G94" s="1" t="s">
        <v>1435</v>
      </c>
      <c r="H94" s="1" t="s">
        <v>1317</v>
      </c>
      <c r="I94" s="1" t="s">
        <v>1317</v>
      </c>
      <c r="J94" s="1" t="s">
        <v>803</v>
      </c>
      <c r="K94" s="1" t="s">
        <v>955</v>
      </c>
      <c r="L94" s="1">
        <v>5.5</v>
      </c>
      <c r="M94" s="1" t="s">
        <v>1317</v>
      </c>
      <c r="N94" s="1" t="s">
        <v>803</v>
      </c>
      <c r="O94" s="1" t="s">
        <v>131</v>
      </c>
      <c r="P94" s="1">
        <v>2001.0</v>
      </c>
      <c r="Q94" s="1" t="s">
        <v>1317</v>
      </c>
      <c r="R94" s="1" t="s">
        <v>955</v>
      </c>
      <c r="S94" s="1" t="s">
        <v>1317</v>
      </c>
      <c r="T94" s="1" t="s">
        <v>955</v>
      </c>
      <c r="U94" s="1" t="s">
        <v>71</v>
      </c>
      <c r="V94" s="1" t="s">
        <v>72</v>
      </c>
      <c r="W94" s="1" t="s">
        <v>31</v>
      </c>
      <c r="X94" s="1" t="s">
        <v>1317</v>
      </c>
      <c r="Y94" s="1" t="s">
        <v>803</v>
      </c>
      <c r="Z94" s="1" t="s">
        <v>51</v>
      </c>
      <c r="AA94" s="1" t="s">
        <v>31</v>
      </c>
      <c r="AB94" s="1" t="s">
        <v>31</v>
      </c>
      <c r="AC94" s="1" t="s">
        <v>137</v>
      </c>
      <c r="AD94" s="1" t="s">
        <v>31</v>
      </c>
      <c r="AE94" s="5"/>
    </row>
    <row r="95" ht="14.25" customHeight="1">
      <c r="A95" s="1" t="s">
        <v>33</v>
      </c>
      <c r="B95" s="1">
        <v>1.1000255E7</v>
      </c>
      <c r="C95" s="1" t="str">
        <f>VLOOKUP(B95,Equipment!A$1:J$575,9,0)</f>
        <v>E</v>
      </c>
      <c r="D95" s="1" t="s">
        <v>1445</v>
      </c>
      <c r="E95" s="1" t="s">
        <v>1447</v>
      </c>
      <c r="F95" s="1" t="s">
        <v>517</v>
      </c>
      <c r="G95" s="1" t="s">
        <v>1449</v>
      </c>
      <c r="H95" s="1" t="s">
        <v>1317</v>
      </c>
      <c r="I95" s="1" t="s">
        <v>1317</v>
      </c>
      <c r="J95" s="1" t="s">
        <v>1451</v>
      </c>
      <c r="K95" s="1" t="s">
        <v>1452</v>
      </c>
      <c r="L95" s="1">
        <v>0.67</v>
      </c>
      <c r="M95" s="1" t="s">
        <v>1317</v>
      </c>
      <c r="N95" s="1" t="s">
        <v>1451</v>
      </c>
      <c r="O95" s="1" t="s">
        <v>131</v>
      </c>
      <c r="P95" s="1">
        <v>2001.0</v>
      </c>
      <c r="Q95" s="1" t="s">
        <v>1317</v>
      </c>
      <c r="R95" s="1" t="s">
        <v>1452</v>
      </c>
      <c r="S95" s="1" t="s">
        <v>1317</v>
      </c>
      <c r="T95" s="1" t="s">
        <v>1452</v>
      </c>
      <c r="U95" s="1" t="s">
        <v>71</v>
      </c>
      <c r="V95" s="1" t="s">
        <v>72</v>
      </c>
      <c r="W95" s="1" t="s">
        <v>31</v>
      </c>
      <c r="X95" s="1" t="s">
        <v>1317</v>
      </c>
      <c r="Y95" s="1" t="s">
        <v>1451</v>
      </c>
      <c r="Z95" s="1" t="s">
        <v>51</v>
      </c>
      <c r="AA95" s="1" t="s">
        <v>31</v>
      </c>
      <c r="AB95" s="1" t="s">
        <v>31</v>
      </c>
      <c r="AC95" s="1" t="s">
        <v>137</v>
      </c>
      <c r="AD95" s="1" t="s">
        <v>31</v>
      </c>
      <c r="AE95" s="5"/>
    </row>
    <row r="96" ht="14.25" customHeight="1">
      <c r="A96" s="1" t="s">
        <v>33</v>
      </c>
      <c r="B96" s="1">
        <v>1.1000325E7</v>
      </c>
      <c r="C96" s="1" t="str">
        <f>VLOOKUP(B96,Equipment!A$1:J$575,9,0)</f>
        <v>E</v>
      </c>
      <c r="D96" s="1" t="s">
        <v>1468</v>
      </c>
      <c r="E96" s="1" t="s">
        <v>1469</v>
      </c>
      <c r="F96" s="1" t="s">
        <v>681</v>
      </c>
      <c r="G96" s="1" t="s">
        <v>1471</v>
      </c>
      <c r="H96" s="1" t="s">
        <v>1317</v>
      </c>
      <c r="I96" s="1" t="s">
        <v>1317</v>
      </c>
      <c r="J96" s="1" t="s">
        <v>1474</v>
      </c>
      <c r="K96" s="1" t="s">
        <v>1476</v>
      </c>
      <c r="L96" s="1">
        <v>0.75</v>
      </c>
      <c r="M96" s="1" t="s">
        <v>1317</v>
      </c>
      <c r="N96" s="1" t="s">
        <v>1474</v>
      </c>
      <c r="O96" s="1" t="s">
        <v>131</v>
      </c>
      <c r="P96" s="1">
        <v>2001.0</v>
      </c>
      <c r="Q96" s="1" t="s">
        <v>1317</v>
      </c>
      <c r="R96" s="1" t="s">
        <v>1476</v>
      </c>
      <c r="S96" s="1" t="s">
        <v>1317</v>
      </c>
      <c r="T96" s="1" t="s">
        <v>1476</v>
      </c>
      <c r="U96" s="1" t="s">
        <v>71</v>
      </c>
      <c r="V96" s="1" t="s">
        <v>72</v>
      </c>
      <c r="W96" s="1" t="s">
        <v>31</v>
      </c>
      <c r="X96" s="1" t="s">
        <v>1317</v>
      </c>
      <c r="Y96" s="1" t="s">
        <v>1474</v>
      </c>
      <c r="Z96" s="1" t="s">
        <v>51</v>
      </c>
      <c r="AA96" s="1" t="s">
        <v>31</v>
      </c>
      <c r="AB96" s="1" t="s">
        <v>31</v>
      </c>
      <c r="AC96" s="1" t="s">
        <v>137</v>
      </c>
      <c r="AD96" s="1" t="s">
        <v>31</v>
      </c>
      <c r="AE96" s="5"/>
    </row>
    <row r="97" ht="14.25" customHeight="1">
      <c r="A97" s="1" t="s">
        <v>33</v>
      </c>
      <c r="B97" s="1">
        <v>1.1000377E7</v>
      </c>
      <c r="C97" s="1" t="str">
        <f>VLOOKUP(B97,Equipment!A$1:J$575,9,0)</f>
        <v>E</v>
      </c>
      <c r="D97" s="1" t="s">
        <v>1487</v>
      </c>
      <c r="E97" s="1" t="s">
        <v>1488</v>
      </c>
      <c r="F97" s="1" t="s">
        <v>825</v>
      </c>
      <c r="G97" s="1" t="s">
        <v>1489</v>
      </c>
      <c r="H97" s="1" t="s">
        <v>1490</v>
      </c>
      <c r="I97" s="1" t="s">
        <v>31</v>
      </c>
      <c r="J97" s="1" t="s">
        <v>1491</v>
      </c>
      <c r="K97" s="1" t="s">
        <v>73</v>
      </c>
      <c r="L97" s="1">
        <v>0.0</v>
      </c>
      <c r="M97" s="1" t="s">
        <v>1490</v>
      </c>
      <c r="N97" s="1" t="s">
        <v>1493</v>
      </c>
      <c r="O97" s="1" t="s">
        <v>68</v>
      </c>
      <c r="P97" s="1">
        <v>1041.0</v>
      </c>
      <c r="Q97" s="1" t="s">
        <v>1007</v>
      </c>
      <c r="R97" s="1" t="s">
        <v>1495</v>
      </c>
      <c r="S97" s="1" t="s">
        <v>882</v>
      </c>
      <c r="T97" s="1" t="s">
        <v>1496</v>
      </c>
      <c r="U97" s="1" t="s">
        <v>71</v>
      </c>
      <c r="V97" s="1" t="s">
        <v>72</v>
      </c>
      <c r="W97" s="1" t="s">
        <v>31</v>
      </c>
      <c r="X97" s="1" t="s">
        <v>1490</v>
      </c>
      <c r="Y97" s="1" t="s">
        <v>1496</v>
      </c>
      <c r="Z97" s="1" t="s">
        <v>51</v>
      </c>
      <c r="AA97" s="1" t="s">
        <v>31</v>
      </c>
      <c r="AB97" s="1" t="s">
        <v>31</v>
      </c>
      <c r="AC97" s="1" t="s">
        <v>74</v>
      </c>
      <c r="AD97" s="1" t="s">
        <v>31</v>
      </c>
      <c r="AE97" s="5"/>
    </row>
    <row r="98" ht="14.25" customHeight="1">
      <c r="A98" s="1" t="s">
        <v>33</v>
      </c>
      <c r="B98" s="1">
        <v>1.100038E7</v>
      </c>
      <c r="C98" s="1" t="str">
        <f>VLOOKUP(B98,Equipment!A$1:J$575,9,0)</f>
        <v>E</v>
      </c>
      <c r="D98" s="1" t="s">
        <v>1501</v>
      </c>
      <c r="E98" s="1" t="s">
        <v>1502</v>
      </c>
      <c r="F98" s="1" t="s">
        <v>545</v>
      </c>
      <c r="G98" s="1" t="s">
        <v>1504</v>
      </c>
      <c r="H98" s="1" t="s">
        <v>1490</v>
      </c>
      <c r="I98" s="1" t="s">
        <v>548</v>
      </c>
      <c r="J98" s="1" t="s">
        <v>1505</v>
      </c>
      <c r="K98" s="1" t="s">
        <v>1507</v>
      </c>
      <c r="L98" s="1">
        <v>0.41</v>
      </c>
      <c r="M98" s="1" t="s">
        <v>1490</v>
      </c>
      <c r="N98" s="1" t="s">
        <v>1505</v>
      </c>
      <c r="O98" s="1" t="s">
        <v>68</v>
      </c>
      <c r="P98" s="1">
        <v>1041.0</v>
      </c>
      <c r="Q98" s="1" t="s">
        <v>548</v>
      </c>
      <c r="R98" s="1" t="s">
        <v>1507</v>
      </c>
      <c r="S98" s="1" t="s">
        <v>882</v>
      </c>
      <c r="T98" s="1" t="s">
        <v>1509</v>
      </c>
      <c r="U98" s="1" t="s">
        <v>71</v>
      </c>
      <c r="V98" s="1" t="s">
        <v>72</v>
      </c>
      <c r="W98" s="1" t="s">
        <v>31</v>
      </c>
      <c r="X98" s="1" t="s">
        <v>31</v>
      </c>
      <c r="Y98" s="1" t="s">
        <v>73</v>
      </c>
      <c r="Z98" s="1" t="s">
        <v>51</v>
      </c>
      <c r="AA98" s="1" t="s">
        <v>31</v>
      </c>
      <c r="AB98" s="1" t="s">
        <v>31</v>
      </c>
      <c r="AC98" s="1" t="s">
        <v>74</v>
      </c>
      <c r="AD98" s="1" t="s">
        <v>31</v>
      </c>
      <c r="AE98" s="5"/>
    </row>
    <row r="99" ht="14.25" customHeight="1">
      <c r="A99" s="1" t="s">
        <v>33</v>
      </c>
      <c r="B99" s="1">
        <v>1.1000382E7</v>
      </c>
      <c r="C99" s="1" t="str">
        <f>VLOOKUP(B99,Equipment!A$1:J$575,9,0)</f>
        <v>E</v>
      </c>
      <c r="D99" s="1" t="s">
        <v>1515</v>
      </c>
      <c r="E99" s="1" t="s">
        <v>1516</v>
      </c>
      <c r="F99" s="1" t="s">
        <v>559</v>
      </c>
      <c r="G99" s="1" t="s">
        <v>1517</v>
      </c>
      <c r="H99" s="1" t="s">
        <v>1490</v>
      </c>
      <c r="I99" s="1" t="s">
        <v>548</v>
      </c>
      <c r="J99" s="1" t="s">
        <v>1519</v>
      </c>
      <c r="K99" s="1" t="s">
        <v>1520</v>
      </c>
      <c r="L99" s="1">
        <v>0.53</v>
      </c>
      <c r="M99" s="1" t="s">
        <v>1490</v>
      </c>
      <c r="N99" s="1" t="s">
        <v>1519</v>
      </c>
      <c r="O99" s="1" t="s">
        <v>68</v>
      </c>
      <c r="P99" s="1">
        <v>1041.0</v>
      </c>
      <c r="Q99" s="1" t="s">
        <v>548</v>
      </c>
      <c r="R99" s="1" t="s">
        <v>1520</v>
      </c>
      <c r="S99" s="1" t="s">
        <v>882</v>
      </c>
      <c r="T99" s="1" t="s">
        <v>1524</v>
      </c>
      <c r="U99" s="1" t="s">
        <v>71</v>
      </c>
      <c r="V99" s="1" t="s">
        <v>72</v>
      </c>
      <c r="W99" s="1" t="s">
        <v>31</v>
      </c>
      <c r="X99" s="1" t="s">
        <v>31</v>
      </c>
      <c r="Y99" s="1" t="s">
        <v>73</v>
      </c>
      <c r="Z99" s="1" t="s">
        <v>51</v>
      </c>
      <c r="AA99" s="1" t="s">
        <v>31</v>
      </c>
      <c r="AB99" s="1" t="s">
        <v>31</v>
      </c>
      <c r="AC99" s="1" t="s">
        <v>74</v>
      </c>
      <c r="AD99" s="1" t="s">
        <v>31</v>
      </c>
      <c r="AE99" s="5"/>
    </row>
    <row r="100" ht="14.25" customHeight="1">
      <c r="A100" s="1" t="s">
        <v>33</v>
      </c>
      <c r="B100" s="1">
        <v>1.1000384E7</v>
      </c>
      <c r="C100" s="1" t="str">
        <f>VLOOKUP(B100,Equipment!A$1:J$575,9,0)</f>
        <v>E</v>
      </c>
      <c r="D100" s="1" t="s">
        <v>1527</v>
      </c>
      <c r="E100" s="1" t="s">
        <v>1528</v>
      </c>
      <c r="F100" s="1" t="s">
        <v>575</v>
      </c>
      <c r="G100" s="1" t="s">
        <v>1529</v>
      </c>
      <c r="H100" s="1" t="s">
        <v>1490</v>
      </c>
      <c r="I100" s="1" t="s">
        <v>548</v>
      </c>
      <c r="J100" s="1" t="s">
        <v>1530</v>
      </c>
      <c r="K100" s="1" t="s">
        <v>1531</v>
      </c>
      <c r="L100" s="1">
        <v>0.63</v>
      </c>
      <c r="M100" s="1" t="s">
        <v>1490</v>
      </c>
      <c r="N100" s="1" t="s">
        <v>1530</v>
      </c>
      <c r="O100" s="1" t="s">
        <v>68</v>
      </c>
      <c r="P100" s="1">
        <v>1041.0</v>
      </c>
      <c r="Q100" s="1" t="s">
        <v>548</v>
      </c>
      <c r="R100" s="1" t="s">
        <v>1531</v>
      </c>
      <c r="S100" s="1" t="s">
        <v>1317</v>
      </c>
      <c r="T100" s="1" t="s">
        <v>1533</v>
      </c>
      <c r="U100" s="1" t="s">
        <v>71</v>
      </c>
      <c r="V100" s="1" t="s">
        <v>72</v>
      </c>
      <c r="W100" s="1" t="s">
        <v>31</v>
      </c>
      <c r="X100" s="1" t="s">
        <v>31</v>
      </c>
      <c r="Y100" s="1" t="s">
        <v>73</v>
      </c>
      <c r="Z100" s="1" t="s">
        <v>51</v>
      </c>
      <c r="AA100" s="1" t="s">
        <v>31</v>
      </c>
      <c r="AB100" s="1" t="s">
        <v>31</v>
      </c>
      <c r="AC100" s="1" t="s">
        <v>74</v>
      </c>
      <c r="AD100" s="1" t="s">
        <v>31</v>
      </c>
      <c r="AE100" s="5"/>
    </row>
    <row r="101" ht="14.25" customHeight="1">
      <c r="A101" s="1" t="s">
        <v>33</v>
      </c>
      <c r="B101" s="1">
        <v>1.1000386E7</v>
      </c>
      <c r="C101" s="1" t="str">
        <f>VLOOKUP(B101,Equipment!A$1:J$575,9,0)</f>
        <v>E</v>
      </c>
      <c r="D101" s="1" t="s">
        <v>1539</v>
      </c>
      <c r="E101" s="1" t="s">
        <v>1541</v>
      </c>
      <c r="F101" s="1" t="s">
        <v>415</v>
      </c>
      <c r="G101" s="1" t="s">
        <v>1542</v>
      </c>
      <c r="H101" s="1" t="s">
        <v>1490</v>
      </c>
      <c r="I101" s="1" t="s">
        <v>548</v>
      </c>
      <c r="J101" s="1" t="s">
        <v>1544</v>
      </c>
      <c r="K101" s="1" t="s">
        <v>1546</v>
      </c>
      <c r="L101" s="1">
        <v>0.49</v>
      </c>
      <c r="M101" s="1" t="s">
        <v>1490</v>
      </c>
      <c r="N101" s="1" t="s">
        <v>1547</v>
      </c>
      <c r="O101" s="1" t="s">
        <v>68</v>
      </c>
      <c r="P101" s="1">
        <v>1041.0</v>
      </c>
      <c r="Q101" s="1" t="s">
        <v>548</v>
      </c>
      <c r="R101" s="1" t="s">
        <v>1546</v>
      </c>
      <c r="S101" s="1" t="s">
        <v>882</v>
      </c>
      <c r="T101" s="1" t="s">
        <v>1549</v>
      </c>
      <c r="U101" s="1" t="s">
        <v>71</v>
      </c>
      <c r="V101" s="1" t="s">
        <v>72</v>
      </c>
      <c r="W101" s="1" t="s">
        <v>31</v>
      </c>
      <c r="X101" s="1" t="s">
        <v>1490</v>
      </c>
      <c r="Y101" s="1" t="s">
        <v>1549</v>
      </c>
      <c r="Z101" s="1" t="s">
        <v>51</v>
      </c>
      <c r="AA101" s="1" t="s">
        <v>31</v>
      </c>
      <c r="AB101" s="1" t="s">
        <v>31</v>
      </c>
      <c r="AC101" s="1" t="s">
        <v>74</v>
      </c>
      <c r="AD101" s="1" t="s">
        <v>31</v>
      </c>
      <c r="AE101" s="5"/>
    </row>
    <row r="102" ht="14.25" customHeight="1">
      <c r="A102" s="1" t="s">
        <v>33</v>
      </c>
      <c r="B102" s="1">
        <v>1.1000388E7</v>
      </c>
      <c r="C102" s="1" t="str">
        <f>VLOOKUP(B102,Equipment!A$1:J$575,9,0)</f>
        <v>#N/A</v>
      </c>
      <c r="D102" s="1" t="s">
        <v>1569</v>
      </c>
      <c r="E102" s="1" t="s">
        <v>1570</v>
      </c>
      <c r="F102" s="1" t="s">
        <v>269</v>
      </c>
      <c r="G102" s="1" t="s">
        <v>1572</v>
      </c>
      <c r="H102" s="1" t="s">
        <v>1490</v>
      </c>
      <c r="I102" s="1" t="s">
        <v>1490</v>
      </c>
      <c r="J102" s="1" t="s">
        <v>1573</v>
      </c>
      <c r="K102" s="1" t="s">
        <v>1574</v>
      </c>
      <c r="L102" s="1">
        <v>0.78</v>
      </c>
      <c r="M102" s="1" t="s">
        <v>1490</v>
      </c>
      <c r="N102" s="1" t="s">
        <v>1573</v>
      </c>
      <c r="O102" s="1" t="s">
        <v>68</v>
      </c>
      <c r="P102" s="1">
        <v>1041.0</v>
      </c>
      <c r="Q102" s="1" t="s">
        <v>1490</v>
      </c>
      <c r="R102" s="1" t="s">
        <v>1574</v>
      </c>
      <c r="S102" s="1" t="s">
        <v>882</v>
      </c>
      <c r="T102" s="1" t="s">
        <v>1579</v>
      </c>
      <c r="U102" s="1" t="s">
        <v>71</v>
      </c>
      <c r="V102" s="1" t="s">
        <v>72</v>
      </c>
      <c r="W102" s="1" t="s">
        <v>31</v>
      </c>
      <c r="X102" s="1" t="s">
        <v>31</v>
      </c>
      <c r="Y102" s="1" t="s">
        <v>73</v>
      </c>
      <c r="Z102" s="1" t="s">
        <v>51</v>
      </c>
      <c r="AA102" s="1" t="s">
        <v>31</v>
      </c>
      <c r="AB102" s="1" t="s">
        <v>31</v>
      </c>
      <c r="AC102" s="1" t="s">
        <v>74</v>
      </c>
      <c r="AD102" s="1" t="s">
        <v>31</v>
      </c>
      <c r="AE102" s="5"/>
    </row>
    <row r="103" ht="14.25" customHeight="1">
      <c r="A103" s="1" t="s">
        <v>33</v>
      </c>
      <c r="B103" s="1">
        <v>1.1000449E7</v>
      </c>
      <c r="C103" s="1" t="str">
        <f>VLOOKUP(B103,Equipment!A$1:J$575,9,0)</f>
        <v>E</v>
      </c>
      <c r="D103" s="1" t="s">
        <v>1585</v>
      </c>
      <c r="E103" s="1" t="s">
        <v>1586</v>
      </c>
      <c r="F103" s="1" t="s">
        <v>160</v>
      </c>
      <c r="G103" s="1" t="s">
        <v>1587</v>
      </c>
      <c r="H103" s="1" t="s">
        <v>1490</v>
      </c>
      <c r="I103" s="1" t="s">
        <v>1490</v>
      </c>
      <c r="J103" s="1" t="s">
        <v>456</v>
      </c>
      <c r="K103" s="1" t="s">
        <v>1588</v>
      </c>
      <c r="L103" s="1">
        <v>2.5</v>
      </c>
      <c r="M103" s="1" t="s">
        <v>1490</v>
      </c>
      <c r="N103" s="1" t="s">
        <v>1590</v>
      </c>
      <c r="O103" s="1" t="s">
        <v>68</v>
      </c>
      <c r="P103" s="1">
        <v>1041.0</v>
      </c>
      <c r="Q103" s="1" t="s">
        <v>1490</v>
      </c>
      <c r="R103" s="1" t="s">
        <v>1588</v>
      </c>
      <c r="S103" s="1" t="s">
        <v>1317</v>
      </c>
      <c r="T103" s="1" t="s">
        <v>1599</v>
      </c>
      <c r="U103" s="1" t="s">
        <v>71</v>
      </c>
      <c r="V103" s="1" t="s">
        <v>72</v>
      </c>
      <c r="W103" s="1" t="s">
        <v>31</v>
      </c>
      <c r="X103" s="1" t="s">
        <v>31</v>
      </c>
      <c r="Y103" s="1" t="s">
        <v>73</v>
      </c>
      <c r="Z103" s="1" t="s">
        <v>51</v>
      </c>
      <c r="AA103" s="1" t="s">
        <v>31</v>
      </c>
      <c r="AB103" s="1" t="s">
        <v>31</v>
      </c>
      <c r="AC103" s="1" t="s">
        <v>74</v>
      </c>
      <c r="AD103" s="1" t="s">
        <v>31</v>
      </c>
      <c r="AE103" s="5"/>
    </row>
    <row r="104" ht="14.25" customHeight="1">
      <c r="A104" s="1" t="s">
        <v>33</v>
      </c>
      <c r="B104" s="1">
        <v>1.1000452E7</v>
      </c>
      <c r="C104" s="1" t="str">
        <f>VLOOKUP(B104,Equipment!A$1:J$575,9,0)</f>
        <v>E</v>
      </c>
      <c r="D104" s="1" t="s">
        <v>1605</v>
      </c>
      <c r="E104" s="1" t="s">
        <v>1607</v>
      </c>
      <c r="F104" s="1" t="s">
        <v>180</v>
      </c>
      <c r="G104" s="1" t="s">
        <v>1587</v>
      </c>
      <c r="H104" s="1" t="s">
        <v>1490</v>
      </c>
      <c r="I104" s="1" t="s">
        <v>1490</v>
      </c>
      <c r="J104" s="1" t="s">
        <v>456</v>
      </c>
      <c r="K104" s="1" t="s">
        <v>1609</v>
      </c>
      <c r="L104" s="1">
        <v>2.5</v>
      </c>
      <c r="M104" s="1" t="s">
        <v>1490</v>
      </c>
      <c r="N104" s="1" t="s">
        <v>1610</v>
      </c>
      <c r="O104" s="1" t="s">
        <v>68</v>
      </c>
      <c r="P104" s="1">
        <v>1041.0</v>
      </c>
      <c r="Q104" s="1" t="s">
        <v>1490</v>
      </c>
      <c r="R104" s="1" t="s">
        <v>1609</v>
      </c>
      <c r="S104" s="1" t="s">
        <v>1317</v>
      </c>
      <c r="T104" s="1" t="s">
        <v>1611</v>
      </c>
      <c r="U104" s="1" t="s">
        <v>71</v>
      </c>
      <c r="V104" s="1" t="s">
        <v>72</v>
      </c>
      <c r="W104" s="1" t="s">
        <v>31</v>
      </c>
      <c r="X104" s="1" t="s">
        <v>31</v>
      </c>
      <c r="Y104" s="1" t="s">
        <v>73</v>
      </c>
      <c r="Z104" s="1" t="s">
        <v>51</v>
      </c>
      <c r="AA104" s="1" t="s">
        <v>31</v>
      </c>
      <c r="AB104" s="1" t="s">
        <v>31</v>
      </c>
      <c r="AC104" s="1" t="s">
        <v>74</v>
      </c>
      <c r="AD104" s="1" t="s">
        <v>31</v>
      </c>
      <c r="AE104" s="5"/>
    </row>
    <row r="105" ht="14.25" customHeight="1">
      <c r="A105" s="1" t="s">
        <v>33</v>
      </c>
      <c r="B105" s="1">
        <v>1.1000481E7</v>
      </c>
      <c r="C105" s="1" t="str">
        <f>VLOOKUP(B105,Equipment!A$1:J$575,9,0)</f>
        <v>E</v>
      </c>
      <c r="D105" s="1" t="s">
        <v>1615</v>
      </c>
      <c r="E105" s="1" t="s">
        <v>1617</v>
      </c>
      <c r="F105" s="1" t="s">
        <v>921</v>
      </c>
      <c r="G105" s="1" t="s">
        <v>1621</v>
      </c>
      <c r="H105" s="1" t="s">
        <v>1490</v>
      </c>
      <c r="I105" s="1" t="s">
        <v>1490</v>
      </c>
      <c r="J105" s="1" t="s">
        <v>456</v>
      </c>
      <c r="K105" s="1" t="s">
        <v>1623</v>
      </c>
      <c r="L105" s="1">
        <v>2.5</v>
      </c>
      <c r="M105" s="1" t="s">
        <v>1490</v>
      </c>
      <c r="N105" s="1" t="s">
        <v>1624</v>
      </c>
      <c r="O105" s="1" t="s">
        <v>68</v>
      </c>
      <c r="P105" s="1">
        <v>1041.0</v>
      </c>
      <c r="Q105" s="1" t="s">
        <v>1490</v>
      </c>
      <c r="R105" s="1" t="s">
        <v>1623</v>
      </c>
      <c r="S105" s="1" t="s">
        <v>1317</v>
      </c>
      <c r="T105" s="1" t="s">
        <v>1626</v>
      </c>
      <c r="U105" s="1" t="s">
        <v>71</v>
      </c>
      <c r="V105" s="1" t="s">
        <v>72</v>
      </c>
      <c r="W105" s="1" t="s">
        <v>31</v>
      </c>
      <c r="X105" s="1" t="s">
        <v>31</v>
      </c>
      <c r="Y105" s="1" t="s">
        <v>73</v>
      </c>
      <c r="Z105" s="1" t="s">
        <v>51</v>
      </c>
      <c r="AA105" s="1" t="s">
        <v>31</v>
      </c>
      <c r="AB105" s="1" t="s">
        <v>31</v>
      </c>
      <c r="AC105" s="1" t="s">
        <v>74</v>
      </c>
      <c r="AD105" s="1" t="s">
        <v>31</v>
      </c>
      <c r="AE105" s="5"/>
    </row>
    <row r="106" ht="14.25" customHeight="1">
      <c r="A106" s="1" t="s">
        <v>33</v>
      </c>
      <c r="B106" s="1">
        <v>1.1000481E7</v>
      </c>
      <c r="C106" s="1" t="str">
        <f>VLOOKUP(B106,Equipment!A$1:J$575,9,0)</f>
        <v>E</v>
      </c>
      <c r="D106" s="1" t="s">
        <v>1632</v>
      </c>
      <c r="E106" s="1" t="s">
        <v>1634</v>
      </c>
      <c r="F106" s="1" t="s">
        <v>921</v>
      </c>
      <c r="G106" s="1" t="s">
        <v>1635</v>
      </c>
      <c r="H106" s="1" t="s">
        <v>1490</v>
      </c>
      <c r="I106" s="1" t="s">
        <v>1490</v>
      </c>
      <c r="J106" s="1" t="s">
        <v>120</v>
      </c>
      <c r="K106" s="1" t="s">
        <v>1639</v>
      </c>
      <c r="L106" s="1">
        <v>3.0</v>
      </c>
      <c r="M106" s="1" t="s">
        <v>1490</v>
      </c>
      <c r="N106" s="1" t="s">
        <v>1641</v>
      </c>
      <c r="O106" s="1" t="s">
        <v>68</v>
      </c>
      <c r="P106" s="1">
        <v>1041.0</v>
      </c>
      <c r="Q106" s="1" t="s">
        <v>1490</v>
      </c>
      <c r="R106" s="1" t="s">
        <v>1639</v>
      </c>
      <c r="S106" s="1" t="s">
        <v>1317</v>
      </c>
      <c r="T106" s="1" t="s">
        <v>1642</v>
      </c>
      <c r="U106" s="1" t="s">
        <v>71</v>
      </c>
      <c r="V106" s="1" t="s">
        <v>72</v>
      </c>
      <c r="W106" s="1" t="s">
        <v>31</v>
      </c>
      <c r="X106" s="1" t="s">
        <v>31</v>
      </c>
      <c r="Y106" s="1" t="s">
        <v>73</v>
      </c>
      <c r="Z106" s="1" t="s">
        <v>51</v>
      </c>
      <c r="AA106" s="1" t="s">
        <v>31</v>
      </c>
      <c r="AB106" s="1" t="s">
        <v>31</v>
      </c>
      <c r="AC106" s="1" t="s">
        <v>74</v>
      </c>
      <c r="AD106" s="1" t="s">
        <v>31</v>
      </c>
      <c r="AE106" s="5"/>
    </row>
    <row r="107" ht="14.25" customHeight="1">
      <c r="A107" s="1" t="s">
        <v>33</v>
      </c>
      <c r="B107" s="1">
        <v>1.1000485E7</v>
      </c>
      <c r="C107" s="1" t="str">
        <f>VLOOKUP(B107,Equipment!A$1:J$575,9,0)</f>
        <v>E</v>
      </c>
      <c r="D107" s="1" t="s">
        <v>1646</v>
      </c>
      <c r="E107" s="1" t="s">
        <v>1648</v>
      </c>
      <c r="F107" s="1" t="s">
        <v>849</v>
      </c>
      <c r="G107" s="1" t="s">
        <v>1650</v>
      </c>
      <c r="H107" s="1" t="s">
        <v>1490</v>
      </c>
      <c r="I107" s="1" t="s">
        <v>548</v>
      </c>
      <c r="J107" s="1" t="s">
        <v>1652</v>
      </c>
      <c r="K107" s="1" t="s">
        <v>1654</v>
      </c>
      <c r="L107" s="1">
        <v>0.47</v>
      </c>
      <c r="M107" s="1" t="s">
        <v>1490</v>
      </c>
      <c r="N107" s="1" t="s">
        <v>1652</v>
      </c>
      <c r="O107" s="1" t="s">
        <v>68</v>
      </c>
      <c r="P107" s="1">
        <v>1041.0</v>
      </c>
      <c r="Q107" s="1" t="s">
        <v>548</v>
      </c>
      <c r="R107" s="1" t="s">
        <v>1654</v>
      </c>
      <c r="S107" s="1" t="s">
        <v>1317</v>
      </c>
      <c r="T107" s="1" t="s">
        <v>1656</v>
      </c>
      <c r="U107" s="1" t="s">
        <v>71</v>
      </c>
      <c r="V107" s="1" t="s">
        <v>72</v>
      </c>
      <c r="W107" s="1" t="s">
        <v>31</v>
      </c>
      <c r="X107" s="1" t="s">
        <v>31</v>
      </c>
      <c r="Y107" s="1" t="s">
        <v>73</v>
      </c>
      <c r="Z107" s="1" t="s">
        <v>51</v>
      </c>
      <c r="AA107" s="1" t="s">
        <v>31</v>
      </c>
      <c r="AB107" s="1" t="s">
        <v>31</v>
      </c>
      <c r="AC107" s="1" t="s">
        <v>74</v>
      </c>
      <c r="AD107" s="1" t="s">
        <v>31</v>
      </c>
      <c r="AE107" s="5"/>
    </row>
    <row r="108" ht="14.25" customHeight="1">
      <c r="A108" s="1" t="s">
        <v>33</v>
      </c>
      <c r="B108" s="1">
        <v>1.1000228E7</v>
      </c>
      <c r="C108" s="1" t="str">
        <f>VLOOKUP(B108,Equipment!A$1:J$575,9,0)</f>
        <v>E</v>
      </c>
      <c r="D108" s="1" t="s">
        <v>1660</v>
      </c>
      <c r="E108" s="1" t="s">
        <v>1661</v>
      </c>
      <c r="F108" s="1" t="s">
        <v>483</v>
      </c>
      <c r="G108" s="1" t="s">
        <v>1662</v>
      </c>
      <c r="H108" s="1" t="s">
        <v>1490</v>
      </c>
      <c r="I108" s="1" t="s">
        <v>1490</v>
      </c>
      <c r="J108" s="1" t="s">
        <v>1664</v>
      </c>
      <c r="K108" s="1" t="s">
        <v>1665</v>
      </c>
      <c r="L108" s="1">
        <v>0.84</v>
      </c>
      <c r="M108" s="1" t="s">
        <v>1490</v>
      </c>
      <c r="N108" s="1" t="s">
        <v>1664</v>
      </c>
      <c r="O108" s="1" t="s">
        <v>131</v>
      </c>
      <c r="P108" s="1">
        <v>2001.0</v>
      </c>
      <c r="Q108" s="1" t="s">
        <v>1490</v>
      </c>
      <c r="R108" s="1" t="s">
        <v>1666</v>
      </c>
      <c r="S108" s="1" t="s">
        <v>1490</v>
      </c>
      <c r="T108" s="1" t="s">
        <v>1667</v>
      </c>
      <c r="U108" s="1" t="s">
        <v>71</v>
      </c>
      <c r="V108" s="1" t="s">
        <v>72</v>
      </c>
      <c r="W108" s="1" t="s">
        <v>31</v>
      </c>
      <c r="X108" s="1" t="s">
        <v>1490</v>
      </c>
      <c r="Y108" s="1" t="s">
        <v>1664</v>
      </c>
      <c r="Z108" s="1" t="s">
        <v>51</v>
      </c>
      <c r="AA108" s="1" t="s">
        <v>31</v>
      </c>
      <c r="AB108" s="1" t="s">
        <v>31</v>
      </c>
      <c r="AC108" s="1" t="s">
        <v>137</v>
      </c>
      <c r="AD108" s="1" t="s">
        <v>31</v>
      </c>
      <c r="AE108" s="5"/>
    </row>
    <row r="109" ht="14.25" customHeight="1">
      <c r="A109" s="1" t="s">
        <v>33</v>
      </c>
      <c r="B109" s="1">
        <v>1.1000551E7</v>
      </c>
      <c r="C109" s="1" t="str">
        <f>VLOOKUP(B109,Equipment!A$1:J$575,9,0)</f>
        <v>E</v>
      </c>
      <c r="D109" s="1" t="s">
        <v>1673</v>
      </c>
      <c r="E109" s="1" t="s">
        <v>1674</v>
      </c>
      <c r="F109" s="1" t="s">
        <v>217</v>
      </c>
      <c r="G109" s="1" t="s">
        <v>1675</v>
      </c>
      <c r="H109" s="1" t="s">
        <v>1676</v>
      </c>
      <c r="I109" s="1" t="s">
        <v>1676</v>
      </c>
      <c r="J109" s="1" t="s">
        <v>1677</v>
      </c>
      <c r="K109" s="1" t="s">
        <v>1678</v>
      </c>
      <c r="L109" s="1">
        <v>7.16</v>
      </c>
      <c r="M109" s="1" t="s">
        <v>1676</v>
      </c>
      <c r="N109" s="1" t="s">
        <v>1679</v>
      </c>
      <c r="O109" s="1" t="s">
        <v>223</v>
      </c>
      <c r="P109" s="1">
        <v>1031.0</v>
      </c>
      <c r="Q109" s="1" t="s">
        <v>1676</v>
      </c>
      <c r="R109" s="1" t="s">
        <v>1678</v>
      </c>
      <c r="S109" s="1" t="s">
        <v>31</v>
      </c>
      <c r="T109" s="1" t="s">
        <v>73</v>
      </c>
      <c r="U109" s="1" t="s">
        <v>71</v>
      </c>
      <c r="V109" s="1" t="s">
        <v>72</v>
      </c>
      <c r="W109" s="1" t="s">
        <v>31</v>
      </c>
      <c r="X109" s="1" t="s">
        <v>1676</v>
      </c>
      <c r="Y109" s="1" t="s">
        <v>1679</v>
      </c>
      <c r="Z109" s="1" t="s">
        <v>51</v>
      </c>
      <c r="AA109" s="1" t="s">
        <v>31</v>
      </c>
      <c r="AB109" s="1" t="s">
        <v>31</v>
      </c>
      <c r="AC109" s="1" t="s">
        <v>227</v>
      </c>
      <c r="AD109" s="1" t="s">
        <v>31</v>
      </c>
      <c r="AE109" s="5"/>
    </row>
    <row r="110" ht="14.25" customHeight="1">
      <c r="A110" s="1" t="s">
        <v>33</v>
      </c>
      <c r="B110" s="1">
        <v>1.1000378E7</v>
      </c>
      <c r="C110" s="1" t="str">
        <f>VLOOKUP(B110,Equipment!A$1:J$575,9,0)</f>
        <v>E</v>
      </c>
      <c r="D110" s="1" t="s">
        <v>1687</v>
      </c>
      <c r="E110" s="1" t="s">
        <v>1688</v>
      </c>
      <c r="F110" s="1" t="s">
        <v>833</v>
      </c>
      <c r="G110" s="1" t="s">
        <v>1690</v>
      </c>
      <c r="H110" s="1" t="s">
        <v>1676</v>
      </c>
      <c r="I110" s="1" t="s">
        <v>1676</v>
      </c>
      <c r="J110" s="1" t="s">
        <v>297</v>
      </c>
      <c r="K110" s="1" t="s">
        <v>1691</v>
      </c>
      <c r="L110" s="1">
        <v>0.5</v>
      </c>
      <c r="M110" s="1" t="s">
        <v>1676</v>
      </c>
      <c r="N110" s="1" t="s">
        <v>1692</v>
      </c>
      <c r="O110" s="1" t="s">
        <v>68</v>
      </c>
      <c r="P110" s="1">
        <v>1041.0</v>
      </c>
      <c r="Q110" s="1" t="s">
        <v>1676</v>
      </c>
      <c r="R110" s="1" t="s">
        <v>1691</v>
      </c>
      <c r="S110" s="1" t="s">
        <v>31</v>
      </c>
      <c r="T110" s="1" t="s">
        <v>73</v>
      </c>
      <c r="U110" s="1" t="s">
        <v>71</v>
      </c>
      <c r="V110" s="1" t="s">
        <v>72</v>
      </c>
      <c r="W110" s="1" t="s">
        <v>31</v>
      </c>
      <c r="X110" s="1" t="s">
        <v>1676</v>
      </c>
      <c r="Y110" s="1" t="s">
        <v>1695</v>
      </c>
      <c r="Z110" s="1" t="s">
        <v>51</v>
      </c>
      <c r="AA110" s="1" t="s">
        <v>31</v>
      </c>
      <c r="AB110" s="1" t="s">
        <v>31</v>
      </c>
      <c r="AC110" s="1" t="s">
        <v>74</v>
      </c>
      <c r="AD110" s="1" t="s">
        <v>31</v>
      </c>
      <c r="AE110" s="5"/>
    </row>
    <row r="111" ht="14.25" customHeight="1">
      <c r="A111" s="1" t="s">
        <v>33</v>
      </c>
      <c r="B111" s="1">
        <v>1.1000387E7</v>
      </c>
      <c r="C111" s="1" t="str">
        <f>VLOOKUP(B111,Equipment!A$1:J$575,9,0)</f>
        <v>#N/A</v>
      </c>
      <c r="D111" s="1" t="s">
        <v>1705</v>
      </c>
      <c r="E111" s="1" t="s">
        <v>1706</v>
      </c>
      <c r="F111" s="1" t="s">
        <v>255</v>
      </c>
      <c r="G111" s="1" t="s">
        <v>1707</v>
      </c>
      <c r="H111" s="1" t="s">
        <v>1676</v>
      </c>
      <c r="I111" s="1" t="s">
        <v>1676</v>
      </c>
      <c r="J111" s="1" t="s">
        <v>1709</v>
      </c>
      <c r="K111" s="1" t="s">
        <v>1710</v>
      </c>
      <c r="L111" s="1">
        <v>1.0</v>
      </c>
      <c r="M111" s="1" t="s">
        <v>1676</v>
      </c>
      <c r="N111" s="1" t="s">
        <v>1709</v>
      </c>
      <c r="O111" s="1" t="s">
        <v>68</v>
      </c>
      <c r="P111" s="1">
        <v>1041.0</v>
      </c>
      <c r="Q111" s="1" t="s">
        <v>1676</v>
      </c>
      <c r="R111" s="1" t="s">
        <v>1710</v>
      </c>
      <c r="S111" s="1" t="s">
        <v>1490</v>
      </c>
      <c r="T111" s="1" t="s">
        <v>1715</v>
      </c>
      <c r="U111" s="1" t="s">
        <v>71</v>
      </c>
      <c r="V111" s="1" t="s">
        <v>72</v>
      </c>
      <c r="W111" s="1" t="s">
        <v>31</v>
      </c>
      <c r="X111" s="1" t="s">
        <v>31</v>
      </c>
      <c r="Y111" s="1" t="s">
        <v>73</v>
      </c>
      <c r="Z111" s="1" t="s">
        <v>51</v>
      </c>
      <c r="AA111" s="1" t="s">
        <v>31</v>
      </c>
      <c r="AB111" s="1" t="s">
        <v>31</v>
      </c>
      <c r="AC111" s="1" t="s">
        <v>74</v>
      </c>
      <c r="AD111" s="1" t="s">
        <v>31</v>
      </c>
      <c r="AE111" s="5"/>
    </row>
    <row r="112" ht="14.25" customHeight="1">
      <c r="A112" s="1" t="s">
        <v>33</v>
      </c>
      <c r="B112" s="1">
        <v>1.1000388E7</v>
      </c>
      <c r="C112" s="1" t="str">
        <f>VLOOKUP(B112,Equipment!A$1:J$575,9,0)</f>
        <v>#N/A</v>
      </c>
      <c r="D112" s="1" t="s">
        <v>1721</v>
      </c>
      <c r="E112" s="1" t="s">
        <v>1722</v>
      </c>
      <c r="F112" s="1" t="s">
        <v>269</v>
      </c>
      <c r="G112" s="1" t="s">
        <v>802</v>
      </c>
      <c r="H112" s="1" t="s">
        <v>1676</v>
      </c>
      <c r="I112" s="1" t="s">
        <v>1676</v>
      </c>
      <c r="J112" s="1" t="s">
        <v>512</v>
      </c>
      <c r="K112" s="1" t="s">
        <v>1724</v>
      </c>
      <c r="L112" s="1">
        <v>1.0</v>
      </c>
      <c r="M112" s="1" t="s">
        <v>1676</v>
      </c>
      <c r="N112" s="1" t="s">
        <v>1725</v>
      </c>
      <c r="O112" s="1" t="s">
        <v>68</v>
      </c>
      <c r="P112" s="1">
        <v>1041.0</v>
      </c>
      <c r="Q112" s="1" t="s">
        <v>1676</v>
      </c>
      <c r="R112" s="1" t="s">
        <v>1724</v>
      </c>
      <c r="S112" s="1" t="s">
        <v>1007</v>
      </c>
      <c r="T112" s="1" t="s">
        <v>1726</v>
      </c>
      <c r="U112" s="1" t="s">
        <v>71</v>
      </c>
      <c r="V112" s="1" t="s">
        <v>72</v>
      </c>
      <c r="W112" s="1" t="s">
        <v>31</v>
      </c>
      <c r="X112" s="1" t="s">
        <v>31</v>
      </c>
      <c r="Y112" s="1" t="s">
        <v>73</v>
      </c>
      <c r="Z112" s="1" t="s">
        <v>51</v>
      </c>
      <c r="AA112" s="1" t="s">
        <v>31</v>
      </c>
      <c r="AB112" s="1" t="s">
        <v>31</v>
      </c>
      <c r="AC112" s="1" t="s">
        <v>74</v>
      </c>
      <c r="AD112" s="1" t="s">
        <v>31</v>
      </c>
      <c r="AE112" s="5"/>
    </row>
    <row r="113" ht="14.25" customHeight="1">
      <c r="A113" s="1" t="s">
        <v>33</v>
      </c>
      <c r="B113" s="1">
        <v>1.1000389E7</v>
      </c>
      <c r="C113" s="1" t="str">
        <f>VLOOKUP(B113,Equipment!A$1:J$575,9,0)</f>
        <v>E</v>
      </c>
      <c r="D113" s="1" t="s">
        <v>1734</v>
      </c>
      <c r="E113" s="1" t="s">
        <v>1735</v>
      </c>
      <c r="F113" s="1" t="s">
        <v>60</v>
      </c>
      <c r="G113" s="1" t="s">
        <v>1736</v>
      </c>
      <c r="H113" s="1" t="s">
        <v>1676</v>
      </c>
      <c r="I113" s="1" t="s">
        <v>1676</v>
      </c>
      <c r="J113" s="1" t="s">
        <v>1737</v>
      </c>
      <c r="K113" s="1" t="s">
        <v>1738</v>
      </c>
      <c r="L113" s="1">
        <v>0.55</v>
      </c>
      <c r="M113" s="1" t="s">
        <v>1676</v>
      </c>
      <c r="N113" s="1" t="s">
        <v>1739</v>
      </c>
      <c r="O113" s="1" t="s">
        <v>68</v>
      </c>
      <c r="P113" s="1">
        <v>1041.0</v>
      </c>
      <c r="Q113" s="1" t="s">
        <v>1676</v>
      </c>
      <c r="R113" s="1" t="s">
        <v>1738</v>
      </c>
      <c r="S113" s="1" t="s">
        <v>1007</v>
      </c>
      <c r="T113" s="1" t="s">
        <v>1744</v>
      </c>
      <c r="U113" s="1" t="s">
        <v>71</v>
      </c>
      <c r="V113" s="1" t="s">
        <v>72</v>
      </c>
      <c r="W113" s="1" t="s">
        <v>31</v>
      </c>
      <c r="X113" s="1" t="s">
        <v>1676</v>
      </c>
      <c r="Y113" s="1" t="s">
        <v>1744</v>
      </c>
      <c r="Z113" s="1" t="s">
        <v>51</v>
      </c>
      <c r="AA113" s="1" t="s">
        <v>31</v>
      </c>
      <c r="AB113" s="1" t="s">
        <v>31</v>
      </c>
      <c r="AC113" s="1" t="s">
        <v>74</v>
      </c>
      <c r="AD113" s="1" t="s">
        <v>31</v>
      </c>
      <c r="AE113" s="5"/>
    </row>
    <row r="114" ht="14.25" customHeight="1">
      <c r="A114" s="1" t="s">
        <v>33</v>
      </c>
      <c r="B114" s="1">
        <v>1.1000439E7</v>
      </c>
      <c r="C114" s="1" t="str">
        <f>VLOOKUP(B114,Equipment!A$1:J$575,9,0)</f>
        <v>E</v>
      </c>
      <c r="D114" s="1" t="s">
        <v>1750</v>
      </c>
      <c r="E114" s="1" t="s">
        <v>1752</v>
      </c>
      <c r="F114" s="1" t="s">
        <v>894</v>
      </c>
      <c r="G114" s="1" t="s">
        <v>1754</v>
      </c>
      <c r="H114" s="1" t="s">
        <v>1676</v>
      </c>
      <c r="I114" s="1" t="s">
        <v>1676</v>
      </c>
      <c r="J114" s="1" t="s">
        <v>456</v>
      </c>
      <c r="K114" s="1" t="s">
        <v>1755</v>
      </c>
      <c r="L114" s="1">
        <v>0.5</v>
      </c>
      <c r="M114" s="1" t="s">
        <v>1676</v>
      </c>
      <c r="N114" s="1" t="s">
        <v>1756</v>
      </c>
      <c r="O114" s="1" t="s">
        <v>68</v>
      </c>
      <c r="P114" s="1">
        <v>1041.0</v>
      </c>
      <c r="Q114" s="1" t="s">
        <v>1676</v>
      </c>
      <c r="R114" s="1" t="s">
        <v>1755</v>
      </c>
      <c r="S114" s="1" t="s">
        <v>1007</v>
      </c>
      <c r="T114" s="1" t="s">
        <v>1757</v>
      </c>
      <c r="U114" s="1" t="s">
        <v>71</v>
      </c>
      <c r="V114" s="1" t="s">
        <v>72</v>
      </c>
      <c r="W114" s="1" t="s">
        <v>31</v>
      </c>
      <c r="X114" s="1" t="s">
        <v>31</v>
      </c>
      <c r="Y114" s="1" t="s">
        <v>73</v>
      </c>
      <c r="Z114" s="1" t="s">
        <v>51</v>
      </c>
      <c r="AA114" s="1" t="s">
        <v>31</v>
      </c>
      <c r="AB114" s="1" t="s">
        <v>31</v>
      </c>
      <c r="AC114" s="1" t="s">
        <v>74</v>
      </c>
      <c r="AD114" s="1" t="s">
        <v>31</v>
      </c>
      <c r="AE114" s="5"/>
    </row>
    <row r="115" ht="14.25" customHeight="1">
      <c r="A115" s="1" t="s">
        <v>33</v>
      </c>
      <c r="B115" s="1">
        <v>1.1000449E7</v>
      </c>
      <c r="C115" s="1" t="str">
        <f>VLOOKUP(B115,Equipment!A$1:J$575,9,0)</f>
        <v>E</v>
      </c>
      <c r="D115" s="1" t="s">
        <v>1761</v>
      </c>
      <c r="E115" s="1" t="s">
        <v>1762</v>
      </c>
      <c r="F115" s="1" t="s">
        <v>160</v>
      </c>
      <c r="G115" s="1" t="s">
        <v>429</v>
      </c>
      <c r="H115" s="1" t="s">
        <v>1676</v>
      </c>
      <c r="I115" s="1" t="s">
        <v>1676</v>
      </c>
      <c r="J115" s="1" t="s">
        <v>1763</v>
      </c>
      <c r="K115" s="1" t="s">
        <v>1764</v>
      </c>
      <c r="L115" s="1">
        <v>2.03</v>
      </c>
      <c r="M115" s="1" t="s">
        <v>1676</v>
      </c>
      <c r="N115" s="1" t="s">
        <v>1763</v>
      </c>
      <c r="O115" s="1" t="s">
        <v>68</v>
      </c>
      <c r="P115" s="1">
        <v>1041.0</v>
      </c>
      <c r="Q115" s="1" t="s">
        <v>1676</v>
      </c>
      <c r="R115" s="1" t="s">
        <v>1764</v>
      </c>
      <c r="S115" s="1" t="s">
        <v>1490</v>
      </c>
      <c r="T115" s="1" t="s">
        <v>1767</v>
      </c>
      <c r="U115" s="1" t="s">
        <v>71</v>
      </c>
      <c r="V115" s="1" t="s">
        <v>72</v>
      </c>
      <c r="W115" s="1" t="s">
        <v>31</v>
      </c>
      <c r="X115" s="1" t="s">
        <v>31</v>
      </c>
      <c r="Y115" s="1" t="s">
        <v>73</v>
      </c>
      <c r="Z115" s="1" t="s">
        <v>51</v>
      </c>
      <c r="AA115" s="1" t="s">
        <v>31</v>
      </c>
      <c r="AB115" s="1" t="s">
        <v>31</v>
      </c>
      <c r="AC115" s="1" t="s">
        <v>74</v>
      </c>
      <c r="AD115" s="1" t="s">
        <v>31</v>
      </c>
      <c r="AE115" s="5"/>
    </row>
    <row r="116" ht="14.25" customHeight="1">
      <c r="A116" s="1" t="s">
        <v>33</v>
      </c>
      <c r="B116" s="1">
        <v>1.1000453E7</v>
      </c>
      <c r="C116" s="1" t="str">
        <f>VLOOKUP(B116,Equipment!A$1:J$575,9,0)</f>
        <v>E</v>
      </c>
      <c r="D116" s="1" t="s">
        <v>31</v>
      </c>
      <c r="E116" s="1" t="s">
        <v>1772</v>
      </c>
      <c r="F116" s="1" t="s">
        <v>283</v>
      </c>
      <c r="G116" s="1" t="s">
        <v>1774</v>
      </c>
      <c r="H116" s="1" t="s">
        <v>1676</v>
      </c>
      <c r="I116" s="1" t="s">
        <v>31</v>
      </c>
      <c r="J116" s="1" t="s">
        <v>1776</v>
      </c>
      <c r="K116" s="1" t="s">
        <v>73</v>
      </c>
      <c r="L116" s="1">
        <v>0.0</v>
      </c>
      <c r="M116" s="1" t="s">
        <v>1676</v>
      </c>
      <c r="N116" s="1" t="s">
        <v>1776</v>
      </c>
      <c r="O116" s="1" t="s">
        <v>68</v>
      </c>
      <c r="P116" s="1">
        <v>1041.0</v>
      </c>
      <c r="Q116" s="1" t="s">
        <v>1676</v>
      </c>
      <c r="R116" s="1" t="s">
        <v>1777</v>
      </c>
      <c r="S116" s="1" t="s">
        <v>1490</v>
      </c>
      <c r="T116" s="1" t="s">
        <v>1779</v>
      </c>
      <c r="U116" s="1" t="s">
        <v>71</v>
      </c>
      <c r="V116" s="1" t="s">
        <v>72</v>
      </c>
      <c r="W116" s="1" t="s">
        <v>31</v>
      </c>
      <c r="X116" s="1" t="s">
        <v>31</v>
      </c>
      <c r="Y116" s="1" t="s">
        <v>73</v>
      </c>
      <c r="Z116" s="1" t="s">
        <v>51</v>
      </c>
      <c r="AA116" s="1" t="s">
        <v>31</v>
      </c>
      <c r="AB116" s="1" t="s">
        <v>31</v>
      </c>
      <c r="AC116" s="1" t="s">
        <v>74</v>
      </c>
      <c r="AD116" s="1" t="s">
        <v>31</v>
      </c>
      <c r="AE116" s="5"/>
    </row>
    <row r="117" ht="14.25" customHeight="1">
      <c r="A117" s="1" t="s">
        <v>33</v>
      </c>
      <c r="B117" s="1">
        <v>1.1000455E7</v>
      </c>
      <c r="C117" s="1" t="str">
        <f>VLOOKUP(B117,Equipment!A$1:J$575,9,0)</f>
        <v>E</v>
      </c>
      <c r="D117" s="1" t="s">
        <v>31</v>
      </c>
      <c r="E117" s="1" t="s">
        <v>1784</v>
      </c>
      <c r="F117" s="1" t="s">
        <v>81</v>
      </c>
      <c r="G117" s="1" t="s">
        <v>1785</v>
      </c>
      <c r="H117" s="1" t="s">
        <v>1676</v>
      </c>
      <c r="I117" s="1" t="s">
        <v>31</v>
      </c>
      <c r="J117" s="1" t="s">
        <v>1786</v>
      </c>
      <c r="K117" s="1" t="s">
        <v>73</v>
      </c>
      <c r="L117" s="1">
        <v>0.0</v>
      </c>
      <c r="M117" s="1" t="s">
        <v>1676</v>
      </c>
      <c r="N117" s="1" t="s">
        <v>1786</v>
      </c>
      <c r="O117" s="1" t="s">
        <v>68</v>
      </c>
      <c r="P117" s="1">
        <v>1041.0</v>
      </c>
      <c r="Q117" s="1" t="s">
        <v>1676</v>
      </c>
      <c r="R117" s="1" t="s">
        <v>1790</v>
      </c>
      <c r="S117" s="1" t="s">
        <v>1490</v>
      </c>
      <c r="T117" s="1" t="s">
        <v>1791</v>
      </c>
      <c r="U117" s="1" t="s">
        <v>71</v>
      </c>
      <c r="V117" s="1" t="s">
        <v>72</v>
      </c>
      <c r="W117" s="1" t="s">
        <v>31</v>
      </c>
      <c r="X117" s="1" t="s">
        <v>31</v>
      </c>
      <c r="Y117" s="1" t="s">
        <v>73</v>
      </c>
      <c r="Z117" s="1" t="s">
        <v>51</v>
      </c>
      <c r="AA117" s="1" t="s">
        <v>31</v>
      </c>
      <c r="AB117" s="1" t="s">
        <v>31</v>
      </c>
      <c r="AC117" s="1" t="s">
        <v>74</v>
      </c>
      <c r="AD117" s="1" t="s">
        <v>31</v>
      </c>
      <c r="AE117" s="5"/>
    </row>
    <row r="118" ht="14.25" customHeight="1">
      <c r="A118" s="1" t="s">
        <v>33</v>
      </c>
      <c r="B118" s="1">
        <v>1.1000455E7</v>
      </c>
      <c r="C118" s="1" t="str">
        <f>VLOOKUP(B118,Equipment!A$1:J$575,9,0)</f>
        <v>E</v>
      </c>
      <c r="D118" s="1" t="s">
        <v>1796</v>
      </c>
      <c r="E118" s="1" t="s">
        <v>1797</v>
      </c>
      <c r="F118" s="1" t="s">
        <v>81</v>
      </c>
      <c r="G118" s="1" t="s">
        <v>1799</v>
      </c>
      <c r="H118" s="1" t="s">
        <v>1676</v>
      </c>
      <c r="I118" s="1" t="s">
        <v>1490</v>
      </c>
      <c r="J118" s="1" t="s">
        <v>1800</v>
      </c>
      <c r="K118" s="1" t="s">
        <v>1802</v>
      </c>
      <c r="L118" s="1">
        <v>24.65</v>
      </c>
      <c r="M118" s="1" t="s">
        <v>1676</v>
      </c>
      <c r="N118" s="1" t="s">
        <v>1804</v>
      </c>
      <c r="O118" s="1" t="s">
        <v>68</v>
      </c>
      <c r="P118" s="1">
        <v>1041.0</v>
      </c>
      <c r="Q118" s="1" t="s">
        <v>1490</v>
      </c>
      <c r="R118" s="1" t="s">
        <v>1802</v>
      </c>
      <c r="S118" s="1" t="s">
        <v>1490</v>
      </c>
      <c r="T118" s="1" t="s">
        <v>1805</v>
      </c>
      <c r="U118" s="1" t="s">
        <v>71</v>
      </c>
      <c r="V118" s="1" t="s">
        <v>72</v>
      </c>
      <c r="W118" s="1" t="s">
        <v>31</v>
      </c>
      <c r="X118" s="1" t="s">
        <v>1676</v>
      </c>
      <c r="Y118" s="1" t="s">
        <v>1805</v>
      </c>
      <c r="Z118" s="1" t="s">
        <v>51</v>
      </c>
      <c r="AA118" s="1" t="s">
        <v>31</v>
      </c>
      <c r="AB118" s="1" t="s">
        <v>31</v>
      </c>
      <c r="AC118" s="1" t="s">
        <v>74</v>
      </c>
      <c r="AD118" s="1" t="s">
        <v>31</v>
      </c>
      <c r="AE118" s="5"/>
    </row>
    <row r="119" ht="14.25" customHeight="1">
      <c r="A119" s="1" t="s">
        <v>33</v>
      </c>
      <c r="B119" s="1">
        <v>1.1000485E7</v>
      </c>
      <c r="C119" s="1" t="str">
        <f>VLOOKUP(B119,Equipment!A$1:J$575,9,0)</f>
        <v>E</v>
      </c>
      <c r="D119" s="1" t="s">
        <v>1809</v>
      </c>
      <c r="E119" s="1" t="s">
        <v>1810</v>
      </c>
      <c r="F119" s="1" t="s">
        <v>849</v>
      </c>
      <c r="G119" s="1" t="s">
        <v>1812</v>
      </c>
      <c r="H119" s="1" t="s">
        <v>1676</v>
      </c>
      <c r="I119" s="1" t="s">
        <v>1676</v>
      </c>
      <c r="J119" s="1" t="s">
        <v>309</v>
      </c>
      <c r="K119" s="1" t="s">
        <v>1813</v>
      </c>
      <c r="L119" s="1">
        <v>0.5</v>
      </c>
      <c r="M119" s="1" t="s">
        <v>1676</v>
      </c>
      <c r="N119" s="1" t="s">
        <v>1816</v>
      </c>
      <c r="O119" s="1" t="s">
        <v>68</v>
      </c>
      <c r="P119" s="1">
        <v>1041.0</v>
      </c>
      <c r="Q119" s="1" t="s">
        <v>1676</v>
      </c>
      <c r="R119" s="1" t="s">
        <v>1813</v>
      </c>
      <c r="S119" s="1" t="s">
        <v>1490</v>
      </c>
      <c r="T119" s="1" t="s">
        <v>1819</v>
      </c>
      <c r="U119" s="1" t="s">
        <v>71</v>
      </c>
      <c r="V119" s="1" t="s">
        <v>72</v>
      </c>
      <c r="W119" s="1" t="s">
        <v>31</v>
      </c>
      <c r="X119" s="1" t="s">
        <v>31</v>
      </c>
      <c r="Y119" s="1" t="s">
        <v>73</v>
      </c>
      <c r="Z119" s="1" t="s">
        <v>51</v>
      </c>
      <c r="AA119" s="1" t="s">
        <v>31</v>
      </c>
      <c r="AB119" s="1" t="s">
        <v>31</v>
      </c>
      <c r="AC119" s="1" t="s">
        <v>74</v>
      </c>
      <c r="AD119" s="1" t="s">
        <v>31</v>
      </c>
      <c r="AE119" s="5"/>
    </row>
    <row r="120" ht="14.25" customHeight="1">
      <c r="A120" s="1" t="s">
        <v>33</v>
      </c>
      <c r="B120" s="1">
        <v>1.1000494E7</v>
      </c>
      <c r="C120" s="1" t="str">
        <f>VLOOKUP(B120,Equipment!A$1:J$575,9,0)</f>
        <v>E</v>
      </c>
      <c r="D120" s="1" t="s">
        <v>1825</v>
      </c>
      <c r="E120" s="1" t="s">
        <v>1826</v>
      </c>
      <c r="F120" s="1" t="s">
        <v>454</v>
      </c>
      <c r="G120" s="1" t="s">
        <v>1827</v>
      </c>
      <c r="H120" s="1" t="s">
        <v>1676</v>
      </c>
      <c r="I120" s="1" t="s">
        <v>1676</v>
      </c>
      <c r="J120" s="1" t="s">
        <v>1829</v>
      </c>
      <c r="K120" s="1" t="s">
        <v>1830</v>
      </c>
      <c r="L120" s="1">
        <v>0.5</v>
      </c>
      <c r="M120" s="1" t="s">
        <v>1676</v>
      </c>
      <c r="N120" s="1" t="s">
        <v>1833</v>
      </c>
      <c r="O120" s="1" t="s">
        <v>68</v>
      </c>
      <c r="P120" s="1">
        <v>1041.0</v>
      </c>
      <c r="Q120" s="1" t="s">
        <v>1676</v>
      </c>
      <c r="R120" s="1" t="s">
        <v>1830</v>
      </c>
      <c r="S120" s="1" t="s">
        <v>1007</v>
      </c>
      <c r="T120" s="1" t="s">
        <v>1834</v>
      </c>
      <c r="U120" s="1" t="s">
        <v>71</v>
      </c>
      <c r="V120" s="1" t="s">
        <v>72</v>
      </c>
      <c r="W120" s="1" t="s">
        <v>31</v>
      </c>
      <c r="X120" s="1" t="s">
        <v>31</v>
      </c>
      <c r="Y120" s="1" t="s">
        <v>73</v>
      </c>
      <c r="Z120" s="1" t="s">
        <v>51</v>
      </c>
      <c r="AA120" s="1" t="s">
        <v>31</v>
      </c>
      <c r="AB120" s="1" t="s">
        <v>31</v>
      </c>
      <c r="AC120" s="1" t="s">
        <v>74</v>
      </c>
      <c r="AD120" s="1" t="s">
        <v>31</v>
      </c>
      <c r="AE120" s="5"/>
    </row>
    <row r="121" ht="14.25" customHeight="1">
      <c r="A121" s="1" t="s">
        <v>33</v>
      </c>
      <c r="B121" s="1">
        <v>1.1001303E7</v>
      </c>
      <c r="C121" s="1" t="str">
        <f>VLOOKUP(B121,Equipment!A$1:J$575,9,0)</f>
        <v>E</v>
      </c>
      <c r="D121" s="1" t="s">
        <v>1840</v>
      </c>
      <c r="E121" s="1" t="s">
        <v>1841</v>
      </c>
      <c r="F121" s="1" t="s">
        <v>649</v>
      </c>
      <c r="G121" s="1" t="s">
        <v>1843</v>
      </c>
      <c r="H121" s="1" t="s">
        <v>1676</v>
      </c>
      <c r="I121" s="1" t="s">
        <v>1676</v>
      </c>
      <c r="J121" s="1" t="s">
        <v>1844</v>
      </c>
      <c r="K121" s="1" t="s">
        <v>1845</v>
      </c>
      <c r="L121" s="1">
        <v>1.0</v>
      </c>
      <c r="M121" s="1" t="s">
        <v>1676</v>
      </c>
      <c r="N121" s="1" t="s">
        <v>1846</v>
      </c>
      <c r="O121" s="1" t="s">
        <v>121</v>
      </c>
      <c r="P121" s="1">
        <v>1041.0</v>
      </c>
      <c r="Q121" s="1" t="s">
        <v>1676</v>
      </c>
      <c r="R121" s="1" t="s">
        <v>1845</v>
      </c>
      <c r="S121" s="1" t="s">
        <v>1490</v>
      </c>
      <c r="T121" s="1" t="s">
        <v>1847</v>
      </c>
      <c r="U121" s="1" t="s">
        <v>71</v>
      </c>
      <c r="V121" s="1" t="s">
        <v>72</v>
      </c>
      <c r="W121" s="1" t="s">
        <v>31</v>
      </c>
      <c r="X121" s="1" t="s">
        <v>31</v>
      </c>
      <c r="Y121" s="1" t="s">
        <v>73</v>
      </c>
      <c r="Z121" s="1" t="s">
        <v>51</v>
      </c>
      <c r="AA121" s="1" t="s">
        <v>31</v>
      </c>
      <c r="AB121" s="1" t="s">
        <v>31</v>
      </c>
      <c r="AC121" s="1" t="s">
        <v>656</v>
      </c>
      <c r="AD121" s="1" t="s">
        <v>31</v>
      </c>
      <c r="AE121" s="5"/>
    </row>
    <row r="122" ht="14.25" customHeight="1">
      <c r="A122" s="1" t="s">
        <v>33</v>
      </c>
      <c r="B122" s="1">
        <v>1.1001303E7</v>
      </c>
      <c r="C122" s="1" t="str">
        <f>VLOOKUP(B122,Equipment!A$1:J$575,9,0)</f>
        <v>E</v>
      </c>
      <c r="D122" s="1" t="s">
        <v>31</v>
      </c>
      <c r="E122" s="1" t="s">
        <v>1860</v>
      </c>
      <c r="F122" s="1" t="s">
        <v>649</v>
      </c>
      <c r="G122" s="1" t="s">
        <v>1861</v>
      </c>
      <c r="H122" s="1" t="s">
        <v>1676</v>
      </c>
      <c r="I122" s="1" t="s">
        <v>31</v>
      </c>
      <c r="J122" s="1" t="s">
        <v>1862</v>
      </c>
      <c r="K122" s="1" t="s">
        <v>73</v>
      </c>
      <c r="L122" s="1">
        <v>0.0</v>
      </c>
      <c r="M122" s="1" t="s">
        <v>1676</v>
      </c>
      <c r="N122" s="1" t="s">
        <v>1862</v>
      </c>
      <c r="O122" s="1" t="s">
        <v>121</v>
      </c>
      <c r="P122" s="1">
        <v>1041.0</v>
      </c>
      <c r="Q122" s="1" t="s">
        <v>1676</v>
      </c>
      <c r="R122" s="1" t="s">
        <v>1863</v>
      </c>
      <c r="S122" s="1" t="s">
        <v>1490</v>
      </c>
      <c r="T122" s="1" t="s">
        <v>1864</v>
      </c>
      <c r="U122" s="1" t="s">
        <v>71</v>
      </c>
      <c r="V122" s="1" t="s">
        <v>31</v>
      </c>
      <c r="W122" s="1" t="s">
        <v>31</v>
      </c>
      <c r="X122" s="1" t="s">
        <v>1676</v>
      </c>
      <c r="Y122" s="1" t="s">
        <v>1864</v>
      </c>
      <c r="Z122" s="1" t="s">
        <v>51</v>
      </c>
      <c r="AA122" s="1" t="s">
        <v>31</v>
      </c>
      <c r="AB122" s="1" t="s">
        <v>31</v>
      </c>
      <c r="AC122" s="1" t="s">
        <v>656</v>
      </c>
      <c r="AD122" s="1" t="s">
        <v>31</v>
      </c>
      <c r="AE122" s="5"/>
    </row>
    <row r="123" ht="14.25" customHeight="1">
      <c r="A123" s="1" t="s">
        <v>33</v>
      </c>
      <c r="B123" s="1">
        <v>1.1000216E7</v>
      </c>
      <c r="C123" s="1" t="str">
        <f>VLOOKUP(B123,Equipment!A$1:J$575,9,0)</f>
        <v>E</v>
      </c>
      <c r="D123" s="1" t="s">
        <v>1873</v>
      </c>
      <c r="E123" s="1" t="s">
        <v>1875</v>
      </c>
      <c r="F123" s="1" t="s">
        <v>444</v>
      </c>
      <c r="G123" s="1" t="s">
        <v>1876</v>
      </c>
      <c r="H123" s="1" t="s">
        <v>1676</v>
      </c>
      <c r="I123" s="1" t="s">
        <v>1676</v>
      </c>
      <c r="J123" s="1" t="s">
        <v>1877</v>
      </c>
      <c r="K123" s="1" t="s">
        <v>1878</v>
      </c>
      <c r="L123" s="1">
        <v>1.41</v>
      </c>
      <c r="M123" s="1" t="s">
        <v>1676</v>
      </c>
      <c r="N123" s="1" t="s">
        <v>1877</v>
      </c>
      <c r="O123" s="1" t="s">
        <v>1176</v>
      </c>
      <c r="P123" s="1">
        <v>2001.0</v>
      </c>
      <c r="Q123" s="1" t="s">
        <v>1676</v>
      </c>
      <c r="R123" s="1" t="s">
        <v>1878</v>
      </c>
      <c r="S123" s="1" t="s">
        <v>31</v>
      </c>
      <c r="T123" s="1" t="s">
        <v>73</v>
      </c>
      <c r="U123" s="1" t="s">
        <v>71</v>
      </c>
      <c r="V123" s="1" t="s">
        <v>72</v>
      </c>
      <c r="W123" s="1" t="s">
        <v>31</v>
      </c>
      <c r="X123" s="1" t="s">
        <v>1676</v>
      </c>
      <c r="Y123" s="1" t="s">
        <v>1877</v>
      </c>
      <c r="Z123" s="1" t="s">
        <v>51</v>
      </c>
      <c r="AA123" s="1" t="s">
        <v>31</v>
      </c>
      <c r="AB123" s="1" t="s">
        <v>31</v>
      </c>
      <c r="AC123" s="1" t="s">
        <v>1880</v>
      </c>
      <c r="AD123" s="1" t="s">
        <v>31</v>
      </c>
      <c r="AE123" s="5"/>
    </row>
    <row r="124" ht="14.25" customHeight="1">
      <c r="A124" s="1" t="s">
        <v>33</v>
      </c>
      <c r="B124" s="1">
        <v>1.1000256E7</v>
      </c>
      <c r="C124" s="1" t="str">
        <f>VLOOKUP(B124,Equipment!A$1:J$575,9,0)</f>
        <v>E</v>
      </c>
      <c r="D124" s="1" t="s">
        <v>1883</v>
      </c>
      <c r="E124" s="1" t="s">
        <v>1884</v>
      </c>
      <c r="F124" s="1" t="s">
        <v>523</v>
      </c>
      <c r="G124" s="1" t="s">
        <v>1886</v>
      </c>
      <c r="H124" s="1" t="s">
        <v>1676</v>
      </c>
      <c r="I124" s="1" t="s">
        <v>1676</v>
      </c>
      <c r="J124" s="1" t="s">
        <v>1888</v>
      </c>
      <c r="K124" s="1" t="s">
        <v>1889</v>
      </c>
      <c r="L124" s="1">
        <v>0.83</v>
      </c>
      <c r="M124" s="1" t="s">
        <v>1676</v>
      </c>
      <c r="N124" s="1" t="s">
        <v>1888</v>
      </c>
      <c r="O124" s="1" t="s">
        <v>131</v>
      </c>
      <c r="P124" s="1">
        <v>2001.0</v>
      </c>
      <c r="Q124" s="1" t="s">
        <v>1676</v>
      </c>
      <c r="R124" s="1" t="s">
        <v>1889</v>
      </c>
      <c r="S124" s="1" t="s">
        <v>1676</v>
      </c>
      <c r="T124" s="1" t="s">
        <v>1889</v>
      </c>
      <c r="U124" s="1" t="s">
        <v>71</v>
      </c>
      <c r="V124" s="1" t="s">
        <v>72</v>
      </c>
      <c r="W124" s="1" t="s">
        <v>31</v>
      </c>
      <c r="X124" s="1" t="s">
        <v>1676</v>
      </c>
      <c r="Y124" s="1" t="s">
        <v>1888</v>
      </c>
      <c r="Z124" s="1" t="s">
        <v>51</v>
      </c>
      <c r="AA124" s="1" t="s">
        <v>31</v>
      </c>
      <c r="AB124" s="1" t="s">
        <v>31</v>
      </c>
      <c r="AC124" s="1" t="s">
        <v>137</v>
      </c>
      <c r="AD124" s="1" t="s">
        <v>31</v>
      </c>
      <c r="AE124" s="5"/>
    </row>
    <row r="125" ht="14.25" customHeight="1">
      <c r="A125" s="1" t="s">
        <v>33</v>
      </c>
      <c r="B125" s="1">
        <v>1.1000289E7</v>
      </c>
      <c r="C125" s="1" t="str">
        <f>VLOOKUP(B125,Equipment!A$1:J$575,9,0)</f>
        <v>E</v>
      </c>
      <c r="D125" s="1" t="s">
        <v>1895</v>
      </c>
      <c r="E125" s="1" t="s">
        <v>1897</v>
      </c>
      <c r="F125" s="1" t="s">
        <v>577</v>
      </c>
      <c r="G125" s="1" t="s">
        <v>1899</v>
      </c>
      <c r="H125" s="1" t="s">
        <v>1676</v>
      </c>
      <c r="I125" s="1" t="s">
        <v>1676</v>
      </c>
      <c r="J125" s="1" t="s">
        <v>1902</v>
      </c>
      <c r="K125" s="1" t="s">
        <v>1904</v>
      </c>
      <c r="L125" s="1">
        <v>0.69</v>
      </c>
      <c r="M125" s="1" t="s">
        <v>1676</v>
      </c>
      <c r="N125" s="1" t="s">
        <v>1902</v>
      </c>
      <c r="O125" s="1" t="s">
        <v>491</v>
      </c>
      <c r="P125" s="1">
        <v>2001.0</v>
      </c>
      <c r="Q125" s="1" t="s">
        <v>1676</v>
      </c>
      <c r="R125" s="1" t="s">
        <v>1904</v>
      </c>
      <c r="S125" s="1" t="s">
        <v>31</v>
      </c>
      <c r="T125" s="1" t="s">
        <v>73</v>
      </c>
      <c r="U125" s="1" t="s">
        <v>71</v>
      </c>
      <c r="V125" s="1" t="s">
        <v>72</v>
      </c>
      <c r="W125" s="1" t="s">
        <v>31</v>
      </c>
      <c r="X125" s="1" t="s">
        <v>1676</v>
      </c>
      <c r="Y125" s="1" t="s">
        <v>1902</v>
      </c>
      <c r="Z125" s="1" t="s">
        <v>51</v>
      </c>
      <c r="AA125" s="1" t="s">
        <v>31</v>
      </c>
      <c r="AB125" s="1" t="s">
        <v>31</v>
      </c>
      <c r="AC125" s="1" t="s">
        <v>516</v>
      </c>
      <c r="AD125" s="1" t="s">
        <v>31</v>
      </c>
      <c r="AE125" s="5"/>
    </row>
    <row r="126" ht="14.25" customHeight="1">
      <c r="A126" s="1" t="s">
        <v>33</v>
      </c>
      <c r="B126" s="1">
        <v>1.1000322E7</v>
      </c>
      <c r="C126" s="1" t="str">
        <f>VLOOKUP(B126,Equipment!A$1:J$575,9,0)</f>
        <v>E</v>
      </c>
      <c r="D126" s="1" t="s">
        <v>1911</v>
      </c>
      <c r="E126" s="1" t="s">
        <v>1913</v>
      </c>
      <c r="F126" s="1" t="s">
        <v>127</v>
      </c>
      <c r="G126" s="1" t="s">
        <v>1916</v>
      </c>
      <c r="H126" s="1" t="s">
        <v>1676</v>
      </c>
      <c r="I126" s="1" t="s">
        <v>1676</v>
      </c>
      <c r="J126" s="1" t="s">
        <v>1917</v>
      </c>
      <c r="K126" s="1" t="s">
        <v>1918</v>
      </c>
      <c r="L126" s="1">
        <v>0.62</v>
      </c>
      <c r="M126" s="1" t="s">
        <v>1676</v>
      </c>
      <c r="N126" s="1" t="s">
        <v>1917</v>
      </c>
      <c r="O126" s="1" t="s">
        <v>131</v>
      </c>
      <c r="P126" s="1">
        <v>2001.0</v>
      </c>
      <c r="Q126" s="1" t="s">
        <v>1676</v>
      </c>
      <c r="R126" s="1" t="s">
        <v>1921</v>
      </c>
      <c r="S126" s="1" t="s">
        <v>31</v>
      </c>
      <c r="T126" s="1" t="s">
        <v>73</v>
      </c>
      <c r="U126" s="1" t="s">
        <v>71</v>
      </c>
      <c r="V126" s="1" t="s">
        <v>72</v>
      </c>
      <c r="W126" s="1" t="s">
        <v>31</v>
      </c>
      <c r="X126" s="1" t="s">
        <v>1676</v>
      </c>
      <c r="Y126" s="1" t="s">
        <v>1917</v>
      </c>
      <c r="Z126" s="1" t="s">
        <v>51</v>
      </c>
      <c r="AA126" s="1" t="s">
        <v>31</v>
      </c>
      <c r="AB126" s="1" t="s">
        <v>31</v>
      </c>
      <c r="AC126" s="1" t="s">
        <v>137</v>
      </c>
      <c r="AD126" s="1" t="s">
        <v>31</v>
      </c>
      <c r="AE126" s="5"/>
    </row>
    <row r="127" ht="14.25" customHeight="1">
      <c r="A127" s="1" t="s">
        <v>33</v>
      </c>
      <c r="B127" s="1">
        <v>1.1000339E7</v>
      </c>
      <c r="C127" s="1" t="str">
        <f>VLOOKUP(B127,Equipment!A$1:J$575,9,0)</f>
        <v>E</v>
      </c>
      <c r="D127" s="1" t="s">
        <v>1925</v>
      </c>
      <c r="E127" s="1" t="s">
        <v>1926</v>
      </c>
      <c r="F127" s="1" t="s">
        <v>794</v>
      </c>
      <c r="G127" s="1" t="s">
        <v>1928</v>
      </c>
      <c r="H127" s="1" t="s">
        <v>1676</v>
      </c>
      <c r="I127" s="1" t="s">
        <v>1676</v>
      </c>
      <c r="J127" s="1" t="s">
        <v>1929</v>
      </c>
      <c r="K127" s="1" t="s">
        <v>1932</v>
      </c>
      <c r="L127" s="1">
        <v>0.83</v>
      </c>
      <c r="M127" s="1" t="s">
        <v>1676</v>
      </c>
      <c r="N127" s="1" t="s">
        <v>1929</v>
      </c>
      <c r="O127" s="1" t="s">
        <v>131</v>
      </c>
      <c r="P127" s="1">
        <v>2001.0</v>
      </c>
      <c r="Q127" s="1" t="s">
        <v>1676</v>
      </c>
      <c r="R127" s="1" t="s">
        <v>1932</v>
      </c>
      <c r="S127" s="1" t="s">
        <v>31</v>
      </c>
      <c r="T127" s="1" t="s">
        <v>73</v>
      </c>
      <c r="U127" s="1" t="s">
        <v>71</v>
      </c>
      <c r="V127" s="1" t="s">
        <v>72</v>
      </c>
      <c r="W127" s="1" t="s">
        <v>31</v>
      </c>
      <c r="X127" s="1" t="s">
        <v>1676</v>
      </c>
      <c r="Y127" s="1" t="s">
        <v>1934</v>
      </c>
      <c r="Z127" s="1" t="s">
        <v>51</v>
      </c>
      <c r="AA127" s="1" t="s">
        <v>31</v>
      </c>
      <c r="AB127" s="1" t="s">
        <v>31</v>
      </c>
      <c r="AC127" s="1" t="s">
        <v>538</v>
      </c>
      <c r="AD127" s="1" t="s">
        <v>31</v>
      </c>
      <c r="AE127" s="5"/>
    </row>
    <row r="128" ht="14.25" customHeight="1">
      <c r="A128" s="1" t="s">
        <v>33</v>
      </c>
      <c r="B128" s="1">
        <v>1.1000562E7</v>
      </c>
      <c r="C128" s="1" t="str">
        <f>VLOOKUP(B128,Equipment!A$1:J$575,9,0)</f>
        <v>E</v>
      </c>
      <c r="D128" s="1" t="s">
        <v>1942</v>
      </c>
      <c r="E128" s="1" t="s">
        <v>1943</v>
      </c>
      <c r="F128" s="1" t="s">
        <v>1227</v>
      </c>
      <c r="G128" s="1" t="s">
        <v>1944</v>
      </c>
      <c r="H128" s="1" t="s">
        <v>1945</v>
      </c>
      <c r="I128" s="1" t="s">
        <v>1945</v>
      </c>
      <c r="J128" s="1" t="s">
        <v>1946</v>
      </c>
      <c r="K128" s="1" t="s">
        <v>1946</v>
      </c>
      <c r="L128" s="1">
        <v>0.0</v>
      </c>
      <c r="M128" s="1" t="s">
        <v>1945</v>
      </c>
      <c r="N128" s="1" t="s">
        <v>1946</v>
      </c>
      <c r="O128" s="1" t="s">
        <v>223</v>
      </c>
      <c r="P128" s="1">
        <v>1031.0</v>
      </c>
      <c r="Q128" s="1" t="s">
        <v>1945</v>
      </c>
      <c r="R128" s="1" t="s">
        <v>1946</v>
      </c>
      <c r="S128" s="1" t="s">
        <v>31</v>
      </c>
      <c r="T128" s="1" t="s">
        <v>73</v>
      </c>
      <c r="U128" s="1" t="s">
        <v>71</v>
      </c>
      <c r="V128" s="1" t="s">
        <v>72</v>
      </c>
      <c r="W128" s="1" t="s">
        <v>31</v>
      </c>
      <c r="X128" s="1" t="s">
        <v>1945</v>
      </c>
      <c r="Y128" s="1" t="s">
        <v>1946</v>
      </c>
      <c r="Z128" s="1" t="s">
        <v>51</v>
      </c>
      <c r="AA128" s="1" t="s">
        <v>31</v>
      </c>
      <c r="AB128" s="1" t="s">
        <v>31</v>
      </c>
      <c r="AC128" s="1" t="s">
        <v>227</v>
      </c>
      <c r="AD128" s="1" t="s">
        <v>31</v>
      </c>
      <c r="AE128" s="5"/>
    </row>
    <row r="129" ht="14.25" customHeight="1">
      <c r="A129" s="1" t="s">
        <v>33</v>
      </c>
      <c r="B129" s="1">
        <v>1.1000382E7</v>
      </c>
      <c r="C129" s="1" t="str">
        <f>VLOOKUP(B129,Equipment!A$1:J$575,9,0)</f>
        <v>E</v>
      </c>
      <c r="D129" s="1" t="s">
        <v>31</v>
      </c>
      <c r="E129" s="1" t="s">
        <v>1957</v>
      </c>
      <c r="F129" s="1" t="s">
        <v>559</v>
      </c>
      <c r="G129" s="1" t="s">
        <v>1958</v>
      </c>
      <c r="H129" s="1" t="s">
        <v>1945</v>
      </c>
      <c r="I129" s="1" t="s">
        <v>31</v>
      </c>
      <c r="J129" s="1" t="s">
        <v>1959</v>
      </c>
      <c r="K129" s="1" t="s">
        <v>73</v>
      </c>
      <c r="L129" s="1">
        <v>0.0</v>
      </c>
      <c r="M129" s="1" t="s">
        <v>1945</v>
      </c>
      <c r="N129" s="1" t="s">
        <v>1961</v>
      </c>
      <c r="O129" s="1" t="s">
        <v>68</v>
      </c>
      <c r="P129" s="1">
        <v>1041.0</v>
      </c>
      <c r="Q129" s="1" t="s">
        <v>1945</v>
      </c>
      <c r="R129" s="1" t="s">
        <v>1962</v>
      </c>
      <c r="S129" s="1" t="s">
        <v>1201</v>
      </c>
      <c r="T129" s="1" t="s">
        <v>1963</v>
      </c>
      <c r="U129" s="1" t="s">
        <v>71</v>
      </c>
      <c r="V129" s="1" t="s">
        <v>72</v>
      </c>
      <c r="W129" s="1" t="s">
        <v>31</v>
      </c>
      <c r="X129" s="1" t="s">
        <v>1945</v>
      </c>
      <c r="Y129" s="1" t="s">
        <v>1963</v>
      </c>
      <c r="Z129" s="1" t="s">
        <v>51</v>
      </c>
      <c r="AA129" s="1" t="s">
        <v>31</v>
      </c>
      <c r="AB129" s="1" t="s">
        <v>31</v>
      </c>
      <c r="AC129" s="1" t="s">
        <v>74</v>
      </c>
      <c r="AD129" s="1" t="s">
        <v>31</v>
      </c>
      <c r="AE129" s="5"/>
    </row>
    <row r="130" ht="14.25" customHeight="1">
      <c r="A130" s="1" t="s">
        <v>33</v>
      </c>
      <c r="B130" s="1">
        <v>1.1000384E7</v>
      </c>
      <c r="C130" s="1" t="str">
        <f>VLOOKUP(B130,Equipment!A$1:J$575,9,0)</f>
        <v>E</v>
      </c>
      <c r="D130" s="1" t="s">
        <v>1968</v>
      </c>
      <c r="E130" s="1" t="s">
        <v>1969</v>
      </c>
      <c r="F130" s="1" t="s">
        <v>575</v>
      </c>
      <c r="G130" s="1" t="s">
        <v>1970</v>
      </c>
      <c r="H130" s="1" t="s">
        <v>1945</v>
      </c>
      <c r="I130" s="1" t="s">
        <v>1945</v>
      </c>
      <c r="J130" s="1" t="s">
        <v>721</v>
      </c>
      <c r="K130" s="1" t="s">
        <v>119</v>
      </c>
      <c r="L130" s="1">
        <v>0.5</v>
      </c>
      <c r="M130" s="1" t="s">
        <v>1945</v>
      </c>
      <c r="N130" s="1" t="s">
        <v>1976</v>
      </c>
      <c r="O130" s="1" t="s">
        <v>68</v>
      </c>
      <c r="P130" s="1">
        <v>1041.0</v>
      </c>
      <c r="Q130" s="1" t="s">
        <v>1945</v>
      </c>
      <c r="R130" s="1" t="s">
        <v>1977</v>
      </c>
      <c r="S130" s="1" t="s">
        <v>1676</v>
      </c>
      <c r="T130" s="1" t="s">
        <v>1978</v>
      </c>
      <c r="U130" s="1" t="s">
        <v>71</v>
      </c>
      <c r="V130" s="1" t="s">
        <v>72</v>
      </c>
      <c r="W130" s="1" t="s">
        <v>31</v>
      </c>
      <c r="X130" s="1" t="s">
        <v>31</v>
      </c>
      <c r="Y130" s="1" t="s">
        <v>73</v>
      </c>
      <c r="Z130" s="1" t="s">
        <v>51</v>
      </c>
      <c r="AA130" s="1" t="s">
        <v>31</v>
      </c>
      <c r="AB130" s="1" t="s">
        <v>31</v>
      </c>
      <c r="AC130" s="1" t="s">
        <v>74</v>
      </c>
      <c r="AD130" s="1" t="s">
        <v>31</v>
      </c>
      <c r="AE130" s="5"/>
    </row>
    <row r="131" ht="14.25" customHeight="1">
      <c r="A131" s="1" t="s">
        <v>33</v>
      </c>
      <c r="B131" s="1">
        <v>1.1000389E7</v>
      </c>
      <c r="C131" s="1" t="str">
        <f>VLOOKUP(B131,Equipment!A$1:J$575,9,0)</f>
        <v>E</v>
      </c>
      <c r="D131" s="1" t="s">
        <v>1984</v>
      </c>
      <c r="E131" s="1" t="s">
        <v>1985</v>
      </c>
      <c r="F131" s="1" t="s">
        <v>60</v>
      </c>
      <c r="G131" s="1" t="s">
        <v>1987</v>
      </c>
      <c r="H131" s="1" t="s">
        <v>1945</v>
      </c>
      <c r="I131" s="1" t="s">
        <v>1945</v>
      </c>
      <c r="J131" s="1" t="s">
        <v>1989</v>
      </c>
      <c r="K131" s="1" t="s">
        <v>1990</v>
      </c>
      <c r="L131" s="1">
        <v>0.58</v>
      </c>
      <c r="M131" s="1" t="s">
        <v>1676</v>
      </c>
      <c r="N131" s="1" t="s">
        <v>1992</v>
      </c>
      <c r="O131" s="1" t="s">
        <v>68</v>
      </c>
      <c r="P131" s="1">
        <v>1041.0</v>
      </c>
      <c r="Q131" s="1" t="s">
        <v>1945</v>
      </c>
      <c r="R131" s="1" t="s">
        <v>1990</v>
      </c>
      <c r="S131" s="1" t="s">
        <v>1007</v>
      </c>
      <c r="T131" s="1" t="s">
        <v>1993</v>
      </c>
      <c r="U131" s="1" t="s">
        <v>71</v>
      </c>
      <c r="V131" s="1" t="s">
        <v>72</v>
      </c>
      <c r="W131" s="1" t="s">
        <v>31</v>
      </c>
      <c r="X131" s="1" t="s">
        <v>1676</v>
      </c>
      <c r="Y131" s="1" t="s">
        <v>1993</v>
      </c>
      <c r="Z131" s="1" t="s">
        <v>51</v>
      </c>
      <c r="AA131" s="1" t="s">
        <v>31</v>
      </c>
      <c r="AB131" s="1" t="s">
        <v>31</v>
      </c>
      <c r="AC131" s="1" t="s">
        <v>74</v>
      </c>
      <c r="AD131" s="1" t="s">
        <v>31</v>
      </c>
      <c r="AE131" s="5"/>
    </row>
    <row r="132" ht="14.25" customHeight="1">
      <c r="A132" s="1" t="s">
        <v>33</v>
      </c>
      <c r="B132" s="1">
        <v>1.1000389E7</v>
      </c>
      <c r="C132" s="1" t="str">
        <f>VLOOKUP(B132,Equipment!A$1:J$575,9,0)</f>
        <v>E</v>
      </c>
      <c r="D132" s="1" t="s">
        <v>1997</v>
      </c>
      <c r="E132" s="1" t="s">
        <v>1999</v>
      </c>
      <c r="F132" s="1" t="s">
        <v>60</v>
      </c>
      <c r="G132" s="1" t="s">
        <v>1369</v>
      </c>
      <c r="H132" s="1" t="s">
        <v>1945</v>
      </c>
      <c r="I132" s="1" t="s">
        <v>2000</v>
      </c>
      <c r="J132" s="1" t="s">
        <v>1989</v>
      </c>
      <c r="K132" s="1" t="s">
        <v>2001</v>
      </c>
      <c r="L132" s="1">
        <v>0.58</v>
      </c>
      <c r="M132" s="1" t="s">
        <v>1945</v>
      </c>
      <c r="N132" s="1" t="s">
        <v>2002</v>
      </c>
      <c r="O132" s="1" t="s">
        <v>68</v>
      </c>
      <c r="P132" s="1">
        <v>1041.0</v>
      </c>
      <c r="Q132" s="1" t="s">
        <v>2000</v>
      </c>
      <c r="R132" s="1" t="s">
        <v>2001</v>
      </c>
      <c r="S132" s="1" t="s">
        <v>1201</v>
      </c>
      <c r="T132" s="1" t="s">
        <v>2004</v>
      </c>
      <c r="U132" s="1" t="s">
        <v>71</v>
      </c>
      <c r="V132" s="1" t="s">
        <v>72</v>
      </c>
      <c r="W132" s="1" t="s">
        <v>31</v>
      </c>
      <c r="X132" s="1" t="s">
        <v>31</v>
      </c>
      <c r="Y132" s="1" t="s">
        <v>73</v>
      </c>
      <c r="Z132" s="1" t="s">
        <v>51</v>
      </c>
      <c r="AA132" s="1" t="s">
        <v>31</v>
      </c>
      <c r="AB132" s="1" t="s">
        <v>31</v>
      </c>
      <c r="AC132" s="1" t="s">
        <v>74</v>
      </c>
      <c r="AD132" s="1" t="s">
        <v>31</v>
      </c>
      <c r="AE132" s="5"/>
    </row>
    <row r="133" ht="14.25" customHeight="1">
      <c r="A133" s="1" t="s">
        <v>33</v>
      </c>
      <c r="B133" s="1">
        <v>1.1000449E7</v>
      </c>
      <c r="C133" s="1" t="str">
        <f>VLOOKUP(B133,Equipment!A$1:J$575,9,0)</f>
        <v>E</v>
      </c>
      <c r="D133" s="1" t="s">
        <v>2010</v>
      </c>
      <c r="E133" s="1" t="s">
        <v>2011</v>
      </c>
      <c r="F133" s="1" t="s">
        <v>160</v>
      </c>
      <c r="G133" s="1" t="s">
        <v>2013</v>
      </c>
      <c r="H133" s="1" t="s">
        <v>1945</v>
      </c>
      <c r="I133" s="1" t="s">
        <v>1945</v>
      </c>
      <c r="J133" s="1" t="s">
        <v>2014</v>
      </c>
      <c r="K133" s="1" t="s">
        <v>2017</v>
      </c>
      <c r="L133" s="1">
        <v>1.0</v>
      </c>
      <c r="M133" s="1" t="s">
        <v>1945</v>
      </c>
      <c r="N133" s="1" t="s">
        <v>2018</v>
      </c>
      <c r="O133" s="1" t="s">
        <v>68</v>
      </c>
      <c r="P133" s="1">
        <v>1041.0</v>
      </c>
      <c r="Q133" s="1" t="s">
        <v>1945</v>
      </c>
      <c r="R133" s="1" t="s">
        <v>2021</v>
      </c>
      <c r="S133" s="1" t="s">
        <v>1676</v>
      </c>
      <c r="T133" s="1" t="s">
        <v>2023</v>
      </c>
      <c r="U133" s="1" t="s">
        <v>71</v>
      </c>
      <c r="V133" s="1" t="s">
        <v>72</v>
      </c>
      <c r="W133" s="1" t="s">
        <v>31</v>
      </c>
      <c r="X133" s="1" t="s">
        <v>31</v>
      </c>
      <c r="Y133" s="1" t="s">
        <v>73</v>
      </c>
      <c r="Z133" s="1" t="s">
        <v>51</v>
      </c>
      <c r="AA133" s="1" t="s">
        <v>31</v>
      </c>
      <c r="AB133" s="1" t="s">
        <v>31</v>
      </c>
      <c r="AC133" s="1" t="s">
        <v>74</v>
      </c>
      <c r="AD133" s="1" t="s">
        <v>31</v>
      </c>
      <c r="AE133" s="5"/>
    </row>
    <row r="134" ht="14.25" customHeight="1">
      <c r="A134" s="1" t="s">
        <v>33</v>
      </c>
      <c r="B134" s="1">
        <v>1.1000452E7</v>
      </c>
      <c r="C134" s="1" t="str">
        <f>VLOOKUP(B134,Equipment!A$1:J$575,9,0)</f>
        <v>E</v>
      </c>
      <c r="D134" s="1" t="s">
        <v>2026</v>
      </c>
      <c r="E134" s="1" t="s">
        <v>2027</v>
      </c>
      <c r="F134" s="1" t="s">
        <v>180</v>
      </c>
      <c r="G134" s="1" t="s">
        <v>2028</v>
      </c>
      <c r="H134" s="1" t="s">
        <v>1945</v>
      </c>
      <c r="I134" s="1" t="s">
        <v>1945</v>
      </c>
      <c r="J134" s="1" t="s">
        <v>672</v>
      </c>
      <c r="K134" s="1" t="s">
        <v>2030</v>
      </c>
      <c r="L134" s="1">
        <v>0.75</v>
      </c>
      <c r="M134" s="1" t="s">
        <v>1945</v>
      </c>
      <c r="N134" s="1" t="s">
        <v>2034</v>
      </c>
      <c r="O134" s="1" t="s">
        <v>68</v>
      </c>
      <c r="P134" s="1">
        <v>1041.0</v>
      </c>
      <c r="Q134" s="1" t="s">
        <v>1945</v>
      </c>
      <c r="R134" s="1" t="s">
        <v>2035</v>
      </c>
      <c r="S134" s="1" t="s">
        <v>1676</v>
      </c>
      <c r="T134" s="1" t="s">
        <v>2036</v>
      </c>
      <c r="U134" s="1" t="s">
        <v>71</v>
      </c>
      <c r="V134" s="1" t="s">
        <v>72</v>
      </c>
      <c r="W134" s="1" t="s">
        <v>31</v>
      </c>
      <c r="X134" s="1" t="s">
        <v>31</v>
      </c>
      <c r="Y134" s="1" t="s">
        <v>73</v>
      </c>
      <c r="Z134" s="1" t="s">
        <v>51</v>
      </c>
      <c r="AA134" s="1" t="s">
        <v>31</v>
      </c>
      <c r="AB134" s="1" t="s">
        <v>31</v>
      </c>
      <c r="AC134" s="1" t="s">
        <v>74</v>
      </c>
      <c r="AD134" s="1" t="s">
        <v>31</v>
      </c>
      <c r="AE134" s="5"/>
    </row>
    <row r="135" ht="14.25" customHeight="1">
      <c r="A135" s="1" t="s">
        <v>33</v>
      </c>
      <c r="B135" s="1">
        <v>1.1000453E7</v>
      </c>
      <c r="C135" s="1" t="str">
        <f>VLOOKUP(B135,Equipment!A$1:J$575,9,0)</f>
        <v>E</v>
      </c>
      <c r="D135" s="1" t="s">
        <v>2038</v>
      </c>
      <c r="E135" s="1" t="s">
        <v>2039</v>
      </c>
      <c r="F135" s="1" t="s">
        <v>283</v>
      </c>
      <c r="G135" s="1" t="s">
        <v>2041</v>
      </c>
      <c r="H135" s="1" t="s">
        <v>1945</v>
      </c>
      <c r="I135" s="1" t="s">
        <v>1945</v>
      </c>
      <c r="J135" s="1" t="s">
        <v>2043</v>
      </c>
      <c r="K135" s="1" t="s">
        <v>2044</v>
      </c>
      <c r="L135" s="1">
        <v>0.67</v>
      </c>
      <c r="M135" s="1" t="s">
        <v>1945</v>
      </c>
      <c r="N135" s="1" t="s">
        <v>1709</v>
      </c>
      <c r="O135" s="1" t="s">
        <v>68</v>
      </c>
      <c r="P135" s="1">
        <v>1041.0</v>
      </c>
      <c r="Q135" s="1" t="s">
        <v>1945</v>
      </c>
      <c r="R135" s="1" t="s">
        <v>2044</v>
      </c>
      <c r="S135" s="1" t="s">
        <v>1676</v>
      </c>
      <c r="T135" s="1" t="s">
        <v>2045</v>
      </c>
      <c r="U135" s="1" t="s">
        <v>71</v>
      </c>
      <c r="V135" s="1" t="s">
        <v>72</v>
      </c>
      <c r="W135" s="1" t="s">
        <v>31</v>
      </c>
      <c r="X135" s="1" t="s">
        <v>31</v>
      </c>
      <c r="Y135" s="1" t="s">
        <v>73</v>
      </c>
      <c r="Z135" s="1" t="s">
        <v>51</v>
      </c>
      <c r="AA135" s="1" t="s">
        <v>31</v>
      </c>
      <c r="AB135" s="1" t="s">
        <v>31</v>
      </c>
      <c r="AC135" s="1" t="s">
        <v>74</v>
      </c>
      <c r="AD135" s="1" t="s">
        <v>31</v>
      </c>
      <c r="AE135" s="5"/>
    </row>
    <row r="136" ht="14.25" customHeight="1">
      <c r="A136" s="1" t="s">
        <v>33</v>
      </c>
      <c r="B136" s="1">
        <v>1.1000482E7</v>
      </c>
      <c r="C136" s="1" t="str">
        <f>VLOOKUP(B136,Equipment!A$1:J$575,9,0)</f>
        <v>E</v>
      </c>
      <c r="D136" s="1" t="s">
        <v>2051</v>
      </c>
      <c r="E136" s="1" t="s">
        <v>2052</v>
      </c>
      <c r="F136" s="1" t="s">
        <v>100</v>
      </c>
      <c r="G136" s="1" t="s">
        <v>2053</v>
      </c>
      <c r="H136" s="1" t="s">
        <v>1945</v>
      </c>
      <c r="I136" s="1" t="s">
        <v>1945</v>
      </c>
      <c r="J136" s="1" t="s">
        <v>2054</v>
      </c>
      <c r="K136" s="1" t="s">
        <v>2055</v>
      </c>
      <c r="L136" s="1">
        <v>1.0</v>
      </c>
      <c r="M136" s="1" t="s">
        <v>1945</v>
      </c>
      <c r="N136" s="1" t="s">
        <v>2057</v>
      </c>
      <c r="O136" s="1" t="s">
        <v>68</v>
      </c>
      <c r="P136" s="1">
        <v>1041.0</v>
      </c>
      <c r="Q136" s="1" t="s">
        <v>1945</v>
      </c>
      <c r="R136" s="1" t="s">
        <v>2055</v>
      </c>
      <c r="S136" s="1" t="s">
        <v>1676</v>
      </c>
      <c r="T136" s="1" t="s">
        <v>2059</v>
      </c>
      <c r="U136" s="1" t="s">
        <v>71</v>
      </c>
      <c r="V136" s="1" t="s">
        <v>72</v>
      </c>
      <c r="W136" s="1" t="s">
        <v>31</v>
      </c>
      <c r="X136" s="1" t="s">
        <v>31</v>
      </c>
      <c r="Y136" s="1" t="s">
        <v>73</v>
      </c>
      <c r="Z136" s="1" t="s">
        <v>51</v>
      </c>
      <c r="AA136" s="1" t="s">
        <v>31</v>
      </c>
      <c r="AB136" s="1" t="s">
        <v>31</v>
      </c>
      <c r="AC136" s="1" t="s">
        <v>74</v>
      </c>
      <c r="AD136" s="1" t="s">
        <v>31</v>
      </c>
      <c r="AE136" s="5"/>
    </row>
    <row r="137" ht="14.25" customHeight="1">
      <c r="A137" s="1" t="s">
        <v>33</v>
      </c>
      <c r="B137" s="1">
        <v>1.1000511E7</v>
      </c>
      <c r="C137" s="1" t="str">
        <f>VLOOKUP(B137,Equipment!A$1:J$575,9,0)</f>
        <v>E</v>
      </c>
      <c r="D137" s="1" t="s">
        <v>2065</v>
      </c>
      <c r="E137" s="1" t="s">
        <v>2066</v>
      </c>
      <c r="F137" s="1" t="s">
        <v>1095</v>
      </c>
      <c r="G137" s="1" t="s">
        <v>2067</v>
      </c>
      <c r="H137" s="1" t="s">
        <v>1945</v>
      </c>
      <c r="I137" s="1" t="s">
        <v>1033</v>
      </c>
      <c r="J137" s="1" t="s">
        <v>955</v>
      </c>
      <c r="K137" s="1" t="s">
        <v>2069</v>
      </c>
      <c r="L137" s="1">
        <v>2.5</v>
      </c>
      <c r="M137" s="1" t="s">
        <v>1945</v>
      </c>
      <c r="N137" s="1" t="s">
        <v>2070</v>
      </c>
      <c r="O137" s="1" t="s">
        <v>121</v>
      </c>
      <c r="P137" s="1">
        <v>1041.0</v>
      </c>
      <c r="Q137" s="1" t="s">
        <v>1033</v>
      </c>
      <c r="R137" s="1" t="s">
        <v>2069</v>
      </c>
      <c r="S137" s="1" t="s">
        <v>1676</v>
      </c>
      <c r="T137" s="1" t="s">
        <v>2071</v>
      </c>
      <c r="U137" s="1" t="s">
        <v>71</v>
      </c>
      <c r="V137" s="1" t="s">
        <v>72</v>
      </c>
      <c r="W137" s="1" t="s">
        <v>31</v>
      </c>
      <c r="X137" s="1" t="s">
        <v>1945</v>
      </c>
      <c r="Y137" s="1" t="s">
        <v>2071</v>
      </c>
      <c r="Z137" s="1" t="s">
        <v>51</v>
      </c>
      <c r="AA137" s="1" t="s">
        <v>31</v>
      </c>
      <c r="AB137" s="1" t="s">
        <v>31</v>
      </c>
      <c r="AC137" s="1" t="s">
        <v>656</v>
      </c>
      <c r="AD137" s="1" t="s">
        <v>31</v>
      </c>
      <c r="AE137" s="5"/>
    </row>
    <row r="138" ht="14.25" customHeight="1">
      <c r="A138" s="1" t="s">
        <v>33</v>
      </c>
      <c r="B138" s="1">
        <v>1.1000511E7</v>
      </c>
      <c r="C138" s="1" t="str">
        <f>VLOOKUP(B138,Equipment!A$1:J$575,9,0)</f>
        <v>E</v>
      </c>
      <c r="D138" s="1" t="s">
        <v>2077</v>
      </c>
      <c r="E138" s="1" t="s">
        <v>2078</v>
      </c>
      <c r="F138" s="1" t="s">
        <v>1095</v>
      </c>
      <c r="G138" s="1" t="s">
        <v>2080</v>
      </c>
      <c r="H138" s="1" t="s">
        <v>1945</v>
      </c>
      <c r="I138" s="1" t="s">
        <v>1945</v>
      </c>
      <c r="J138" s="1" t="s">
        <v>120</v>
      </c>
      <c r="K138" s="1" t="s">
        <v>2081</v>
      </c>
      <c r="L138" s="1">
        <v>1.0</v>
      </c>
      <c r="M138" s="1" t="s">
        <v>1945</v>
      </c>
      <c r="N138" s="1" t="s">
        <v>2082</v>
      </c>
      <c r="O138" s="1" t="s">
        <v>121</v>
      </c>
      <c r="P138" s="1">
        <v>1041.0</v>
      </c>
      <c r="Q138" s="1" t="s">
        <v>1945</v>
      </c>
      <c r="R138" s="1" t="s">
        <v>2081</v>
      </c>
      <c r="S138" s="1" t="s">
        <v>1676</v>
      </c>
      <c r="T138" s="1" t="s">
        <v>2085</v>
      </c>
      <c r="U138" s="1" t="s">
        <v>71</v>
      </c>
      <c r="V138" s="1" t="s">
        <v>72</v>
      </c>
      <c r="W138" s="1" t="s">
        <v>31</v>
      </c>
      <c r="X138" s="1" t="s">
        <v>31</v>
      </c>
      <c r="Y138" s="1" t="s">
        <v>73</v>
      </c>
      <c r="Z138" s="1" t="s">
        <v>51</v>
      </c>
      <c r="AA138" s="1" t="s">
        <v>31</v>
      </c>
      <c r="AB138" s="1" t="s">
        <v>31</v>
      </c>
      <c r="AC138" s="1" t="s">
        <v>656</v>
      </c>
      <c r="AD138" s="1" t="s">
        <v>31</v>
      </c>
      <c r="AE138" s="5"/>
    </row>
    <row r="139" ht="14.25" customHeight="1">
      <c r="A139" s="1" t="s">
        <v>33</v>
      </c>
      <c r="B139" s="1">
        <v>1.1001327E7</v>
      </c>
      <c r="C139" s="1" t="str">
        <f>VLOOKUP(B139,Equipment!A$1:J$575,9,0)</f>
        <v>E</v>
      </c>
      <c r="D139" s="1" t="s">
        <v>2088</v>
      </c>
      <c r="E139" s="1" t="s">
        <v>2089</v>
      </c>
      <c r="F139" s="1" t="s">
        <v>1277</v>
      </c>
      <c r="G139" s="1" t="s">
        <v>2090</v>
      </c>
      <c r="H139" s="1" t="s">
        <v>1945</v>
      </c>
      <c r="I139" s="1" t="s">
        <v>1945</v>
      </c>
      <c r="J139" s="1" t="s">
        <v>2054</v>
      </c>
      <c r="K139" s="1" t="s">
        <v>2092</v>
      </c>
      <c r="L139" s="1">
        <v>1.0</v>
      </c>
      <c r="M139" s="1" t="s">
        <v>1945</v>
      </c>
      <c r="N139" s="1" t="s">
        <v>2093</v>
      </c>
      <c r="O139" s="1" t="s">
        <v>68</v>
      </c>
      <c r="P139" s="1">
        <v>1041.0</v>
      </c>
      <c r="Q139" s="1" t="s">
        <v>1945</v>
      </c>
      <c r="R139" s="1" t="s">
        <v>2092</v>
      </c>
      <c r="S139" s="1" t="s">
        <v>1676</v>
      </c>
      <c r="T139" s="1" t="s">
        <v>2095</v>
      </c>
      <c r="U139" s="1" t="s">
        <v>71</v>
      </c>
      <c r="V139" s="1" t="s">
        <v>72</v>
      </c>
      <c r="W139" s="1" t="s">
        <v>31</v>
      </c>
      <c r="X139" s="1" t="s">
        <v>1945</v>
      </c>
      <c r="Y139" s="1" t="s">
        <v>2095</v>
      </c>
      <c r="Z139" s="1" t="s">
        <v>51</v>
      </c>
      <c r="AA139" s="1" t="s">
        <v>31</v>
      </c>
      <c r="AB139" s="1" t="s">
        <v>31</v>
      </c>
      <c r="AC139" s="1" t="s">
        <v>74</v>
      </c>
      <c r="AD139" s="1" t="s">
        <v>31</v>
      </c>
      <c r="AE139" s="5"/>
    </row>
    <row r="140" ht="14.25" customHeight="1">
      <c r="A140" s="1" t="s">
        <v>33</v>
      </c>
      <c r="B140" s="1">
        <v>1.1000214E7</v>
      </c>
      <c r="C140" s="1" t="str">
        <f>VLOOKUP(B140,Equipment!A$1:J$575,9,0)</f>
        <v>E</v>
      </c>
      <c r="D140" s="1" t="s">
        <v>2097</v>
      </c>
      <c r="E140" s="1" t="s">
        <v>2098</v>
      </c>
      <c r="F140" s="1" t="s">
        <v>432</v>
      </c>
      <c r="G140" s="1" t="s">
        <v>2099</v>
      </c>
      <c r="H140" s="1" t="s">
        <v>1945</v>
      </c>
      <c r="I140" s="1" t="s">
        <v>1945</v>
      </c>
      <c r="J140" s="1" t="s">
        <v>2100</v>
      </c>
      <c r="K140" s="1" t="s">
        <v>2102</v>
      </c>
      <c r="L140" s="1">
        <v>3.15</v>
      </c>
      <c r="M140" s="1" t="s">
        <v>1945</v>
      </c>
      <c r="N140" s="1" t="s">
        <v>2100</v>
      </c>
      <c r="O140" s="1" t="s">
        <v>1176</v>
      </c>
      <c r="P140" s="1">
        <v>2001.0</v>
      </c>
      <c r="Q140" s="1" t="s">
        <v>1945</v>
      </c>
      <c r="R140" s="1" t="s">
        <v>2102</v>
      </c>
      <c r="S140" s="1" t="s">
        <v>31</v>
      </c>
      <c r="T140" s="1" t="s">
        <v>73</v>
      </c>
      <c r="U140" s="1" t="s">
        <v>71</v>
      </c>
      <c r="V140" s="1" t="s">
        <v>72</v>
      </c>
      <c r="W140" s="1" t="s">
        <v>31</v>
      </c>
      <c r="X140" s="1" t="s">
        <v>1945</v>
      </c>
      <c r="Y140" s="1" t="s">
        <v>2100</v>
      </c>
      <c r="Z140" s="1" t="s">
        <v>51</v>
      </c>
      <c r="AA140" s="1" t="s">
        <v>31</v>
      </c>
      <c r="AB140" s="1" t="s">
        <v>31</v>
      </c>
      <c r="AC140" s="1" t="s">
        <v>1880</v>
      </c>
      <c r="AD140" s="1" t="s">
        <v>31</v>
      </c>
      <c r="AE140" s="5"/>
    </row>
    <row r="141" ht="14.25" customHeight="1">
      <c r="A141" s="1" t="s">
        <v>33</v>
      </c>
      <c r="B141" s="1">
        <v>1.1000228E7</v>
      </c>
      <c r="C141" s="1" t="str">
        <f>VLOOKUP(B141,Equipment!A$1:J$575,9,0)</f>
        <v>E</v>
      </c>
      <c r="D141" s="1" t="s">
        <v>2110</v>
      </c>
      <c r="E141" s="1" t="s">
        <v>2111</v>
      </c>
      <c r="F141" s="1" t="s">
        <v>483</v>
      </c>
      <c r="G141" s="1" t="s">
        <v>2113</v>
      </c>
      <c r="H141" s="1" t="s">
        <v>1945</v>
      </c>
      <c r="I141" s="1" t="s">
        <v>1945</v>
      </c>
      <c r="J141" s="1" t="s">
        <v>401</v>
      </c>
      <c r="K141" s="1" t="s">
        <v>2115</v>
      </c>
      <c r="L141" s="1">
        <v>0.83</v>
      </c>
      <c r="M141" s="1" t="s">
        <v>1945</v>
      </c>
      <c r="N141" s="1" t="s">
        <v>401</v>
      </c>
      <c r="O141" s="1" t="s">
        <v>131</v>
      </c>
      <c r="P141" s="1">
        <v>2001.0</v>
      </c>
      <c r="Q141" s="1" t="s">
        <v>1945</v>
      </c>
      <c r="R141" s="1" t="s">
        <v>2115</v>
      </c>
      <c r="S141" s="1" t="s">
        <v>31</v>
      </c>
      <c r="T141" s="1" t="s">
        <v>73</v>
      </c>
      <c r="U141" s="1" t="s">
        <v>71</v>
      </c>
      <c r="V141" s="1" t="s">
        <v>72</v>
      </c>
      <c r="W141" s="1" t="s">
        <v>31</v>
      </c>
      <c r="X141" s="1" t="s">
        <v>1945</v>
      </c>
      <c r="Y141" s="1" t="s">
        <v>2118</v>
      </c>
      <c r="Z141" s="1" t="s">
        <v>51</v>
      </c>
      <c r="AA141" s="1" t="s">
        <v>31</v>
      </c>
      <c r="AB141" s="1" t="s">
        <v>31</v>
      </c>
      <c r="AC141" s="1" t="s">
        <v>137</v>
      </c>
      <c r="AD141" s="1" t="s">
        <v>31</v>
      </c>
      <c r="AE141" s="5"/>
    </row>
    <row r="142" ht="14.25" customHeight="1">
      <c r="A142" s="1" t="s">
        <v>33</v>
      </c>
      <c r="B142" s="1">
        <v>1.1000851E7</v>
      </c>
      <c r="C142" s="1" t="str">
        <f>VLOOKUP(B142,Equipment!A$1:J$575,9,0)</f>
        <v>E</v>
      </c>
      <c r="D142" s="1" t="s">
        <v>2123</v>
      </c>
      <c r="E142" s="1" t="s">
        <v>2124</v>
      </c>
      <c r="F142" s="1" t="s">
        <v>1971</v>
      </c>
      <c r="G142" s="1" t="s">
        <v>2125</v>
      </c>
      <c r="H142" s="1" t="s">
        <v>1945</v>
      </c>
      <c r="I142" s="1" t="s">
        <v>1676</v>
      </c>
      <c r="J142" s="1" t="s">
        <v>456</v>
      </c>
      <c r="K142" s="1" t="s">
        <v>490</v>
      </c>
      <c r="L142" s="1">
        <v>36.0</v>
      </c>
      <c r="M142" s="1" t="s">
        <v>1945</v>
      </c>
      <c r="N142" s="1" t="s">
        <v>456</v>
      </c>
      <c r="O142" s="1" t="s">
        <v>131</v>
      </c>
      <c r="P142" s="1">
        <v>2001.0</v>
      </c>
      <c r="Q142" s="1" t="s">
        <v>1676</v>
      </c>
      <c r="R142" s="1" t="s">
        <v>490</v>
      </c>
      <c r="S142" s="1" t="s">
        <v>31</v>
      </c>
      <c r="T142" s="1" t="s">
        <v>73</v>
      </c>
      <c r="U142" s="1" t="s">
        <v>71</v>
      </c>
      <c r="V142" s="1" t="s">
        <v>72</v>
      </c>
      <c r="W142" s="1" t="s">
        <v>31</v>
      </c>
      <c r="X142" s="1" t="s">
        <v>1945</v>
      </c>
      <c r="Y142" s="1" t="s">
        <v>2129</v>
      </c>
      <c r="Z142" s="1" t="s">
        <v>51</v>
      </c>
      <c r="AA142" s="1" t="s">
        <v>31</v>
      </c>
      <c r="AB142" s="1" t="s">
        <v>31</v>
      </c>
      <c r="AC142" s="1" t="s">
        <v>2130</v>
      </c>
      <c r="AD142" s="1" t="s">
        <v>31</v>
      </c>
      <c r="AE142" s="5"/>
    </row>
    <row r="143" ht="14.25" customHeight="1">
      <c r="A143" s="1" t="s">
        <v>33</v>
      </c>
      <c r="B143" s="1">
        <v>1.1001236E7</v>
      </c>
      <c r="C143" s="1" t="str">
        <f>VLOOKUP(B143,Equipment!A$1:J$575,9,0)</f>
        <v>E</v>
      </c>
      <c r="D143" s="1" t="s">
        <v>2136</v>
      </c>
      <c r="E143" s="1" t="s">
        <v>2137</v>
      </c>
      <c r="F143" s="1" t="s">
        <v>2106</v>
      </c>
      <c r="G143" s="1" t="s">
        <v>2139</v>
      </c>
      <c r="H143" s="1" t="s">
        <v>1945</v>
      </c>
      <c r="I143" s="1" t="s">
        <v>1945</v>
      </c>
      <c r="J143" s="1" t="s">
        <v>2142</v>
      </c>
      <c r="K143" s="1" t="s">
        <v>341</v>
      </c>
      <c r="L143" s="1">
        <v>1.0</v>
      </c>
      <c r="M143" s="1" t="s">
        <v>1945</v>
      </c>
      <c r="N143" s="1" t="s">
        <v>2142</v>
      </c>
      <c r="O143" s="1" t="s">
        <v>491</v>
      </c>
      <c r="P143" s="1">
        <v>2001.0</v>
      </c>
      <c r="Q143" s="1" t="s">
        <v>1945</v>
      </c>
      <c r="R143" s="1" t="s">
        <v>341</v>
      </c>
      <c r="S143" s="1" t="s">
        <v>31</v>
      </c>
      <c r="T143" s="1" t="s">
        <v>73</v>
      </c>
      <c r="U143" s="1" t="s">
        <v>71</v>
      </c>
      <c r="V143" s="1" t="s">
        <v>72</v>
      </c>
      <c r="W143" s="1" t="s">
        <v>31</v>
      </c>
      <c r="X143" s="1" t="s">
        <v>1945</v>
      </c>
      <c r="Y143" s="1" t="s">
        <v>2146</v>
      </c>
      <c r="Z143" s="1" t="s">
        <v>51</v>
      </c>
      <c r="AA143" s="1" t="s">
        <v>31</v>
      </c>
      <c r="AB143" s="1" t="s">
        <v>31</v>
      </c>
      <c r="AC143" s="1" t="s">
        <v>31</v>
      </c>
      <c r="AD143" s="1" t="s">
        <v>31</v>
      </c>
      <c r="AE143" s="5"/>
    </row>
    <row r="144" ht="14.25" customHeight="1">
      <c r="A144" s="1" t="s">
        <v>33</v>
      </c>
      <c r="B144" s="1">
        <v>1.1000377E7</v>
      </c>
      <c r="C144" s="1" t="str">
        <f>VLOOKUP(B144,Equipment!A$1:J$575,9,0)</f>
        <v>E</v>
      </c>
      <c r="D144" s="1" t="s">
        <v>2157</v>
      </c>
      <c r="E144" s="1" t="s">
        <v>2158</v>
      </c>
      <c r="F144" s="1" t="s">
        <v>825</v>
      </c>
      <c r="G144" s="1" t="s">
        <v>2159</v>
      </c>
      <c r="H144" s="1" t="s">
        <v>1033</v>
      </c>
      <c r="I144" s="1" t="s">
        <v>1033</v>
      </c>
      <c r="J144" s="1" t="s">
        <v>285</v>
      </c>
      <c r="K144" s="1" t="s">
        <v>2160</v>
      </c>
      <c r="L144" s="1">
        <v>0.5</v>
      </c>
      <c r="M144" s="1" t="s">
        <v>1033</v>
      </c>
      <c r="N144" s="1" t="s">
        <v>2163</v>
      </c>
      <c r="O144" s="1" t="s">
        <v>68</v>
      </c>
      <c r="P144" s="1">
        <v>1041.0</v>
      </c>
      <c r="Q144" s="1" t="s">
        <v>1033</v>
      </c>
      <c r="R144" s="1" t="s">
        <v>2160</v>
      </c>
      <c r="S144" s="1" t="s">
        <v>1317</v>
      </c>
      <c r="T144" s="1" t="s">
        <v>2165</v>
      </c>
      <c r="U144" s="1" t="s">
        <v>71</v>
      </c>
      <c r="V144" s="1" t="s">
        <v>72</v>
      </c>
      <c r="W144" s="1" t="s">
        <v>31</v>
      </c>
      <c r="X144" s="1" t="s">
        <v>1033</v>
      </c>
      <c r="Y144" s="1" t="s">
        <v>2165</v>
      </c>
      <c r="Z144" s="1" t="s">
        <v>51</v>
      </c>
      <c r="AA144" s="1" t="s">
        <v>31</v>
      </c>
      <c r="AB144" s="1" t="s">
        <v>31</v>
      </c>
      <c r="AC144" s="1" t="s">
        <v>74</v>
      </c>
      <c r="AD144" s="1" t="s">
        <v>31</v>
      </c>
      <c r="AE144" s="5"/>
    </row>
    <row r="145" ht="14.25" customHeight="1">
      <c r="A145" s="1" t="s">
        <v>33</v>
      </c>
      <c r="B145" s="1">
        <v>1.1000378E7</v>
      </c>
      <c r="C145" s="1" t="str">
        <f>VLOOKUP(B145,Equipment!A$1:J$575,9,0)</f>
        <v>E</v>
      </c>
      <c r="D145" s="1" t="s">
        <v>2169</v>
      </c>
      <c r="E145" s="1" t="s">
        <v>2170</v>
      </c>
      <c r="F145" s="1" t="s">
        <v>833</v>
      </c>
      <c r="G145" s="1" t="s">
        <v>2171</v>
      </c>
      <c r="H145" s="1" t="s">
        <v>1033</v>
      </c>
      <c r="I145" s="1" t="s">
        <v>2172</v>
      </c>
      <c r="J145" s="1" t="s">
        <v>2173</v>
      </c>
      <c r="K145" s="1" t="s">
        <v>2174</v>
      </c>
      <c r="L145" s="1">
        <v>0.55</v>
      </c>
      <c r="M145" s="1" t="s">
        <v>1033</v>
      </c>
      <c r="N145" s="1" t="s">
        <v>2179</v>
      </c>
      <c r="O145" s="1" t="s">
        <v>68</v>
      </c>
      <c r="P145" s="1">
        <v>1041.0</v>
      </c>
      <c r="Q145" s="1" t="s">
        <v>2172</v>
      </c>
      <c r="R145" s="1" t="s">
        <v>2174</v>
      </c>
      <c r="S145" s="1" t="s">
        <v>1317</v>
      </c>
      <c r="T145" s="1" t="s">
        <v>2181</v>
      </c>
      <c r="U145" s="1" t="s">
        <v>71</v>
      </c>
      <c r="V145" s="1" t="s">
        <v>72</v>
      </c>
      <c r="W145" s="1" t="s">
        <v>31</v>
      </c>
      <c r="X145" s="1" t="s">
        <v>1033</v>
      </c>
      <c r="Y145" s="1" t="s">
        <v>2181</v>
      </c>
      <c r="Z145" s="1" t="s">
        <v>51</v>
      </c>
      <c r="AA145" s="1" t="s">
        <v>31</v>
      </c>
      <c r="AB145" s="1" t="s">
        <v>31</v>
      </c>
      <c r="AC145" s="1" t="s">
        <v>74</v>
      </c>
      <c r="AD145" s="1" t="s">
        <v>31</v>
      </c>
      <c r="AE145" s="5"/>
    </row>
    <row r="146" ht="14.25" customHeight="1">
      <c r="A146" s="1" t="s">
        <v>33</v>
      </c>
      <c r="B146" s="1">
        <v>1.1000379E7</v>
      </c>
      <c r="C146" s="1" t="str">
        <f>VLOOKUP(B146,Equipment!A$1:J$575,9,0)</f>
        <v>E</v>
      </c>
      <c r="D146" s="1" t="s">
        <v>2185</v>
      </c>
      <c r="E146" s="1" t="s">
        <v>2187</v>
      </c>
      <c r="F146" s="1" t="s">
        <v>386</v>
      </c>
      <c r="G146" s="1" t="s">
        <v>2189</v>
      </c>
      <c r="H146" s="1" t="s">
        <v>1033</v>
      </c>
      <c r="I146" s="1" t="s">
        <v>1033</v>
      </c>
      <c r="J146" s="1" t="s">
        <v>2191</v>
      </c>
      <c r="K146" s="1" t="s">
        <v>2192</v>
      </c>
      <c r="L146" s="1">
        <v>1.0</v>
      </c>
      <c r="M146" s="1" t="s">
        <v>1033</v>
      </c>
      <c r="N146" s="1" t="s">
        <v>2193</v>
      </c>
      <c r="O146" s="1" t="s">
        <v>68</v>
      </c>
      <c r="P146" s="1">
        <v>1041.0</v>
      </c>
      <c r="Q146" s="1" t="s">
        <v>1033</v>
      </c>
      <c r="R146" s="1" t="s">
        <v>2192</v>
      </c>
      <c r="S146" s="1" t="s">
        <v>1317</v>
      </c>
      <c r="T146" s="1" t="s">
        <v>2195</v>
      </c>
      <c r="U146" s="1" t="s">
        <v>71</v>
      </c>
      <c r="V146" s="1" t="s">
        <v>72</v>
      </c>
      <c r="W146" s="1" t="s">
        <v>31</v>
      </c>
      <c r="X146" s="1" t="s">
        <v>1033</v>
      </c>
      <c r="Y146" s="1" t="s">
        <v>2195</v>
      </c>
      <c r="Z146" s="1" t="s">
        <v>51</v>
      </c>
      <c r="AA146" s="1" t="s">
        <v>31</v>
      </c>
      <c r="AB146" s="1" t="s">
        <v>31</v>
      </c>
      <c r="AC146" s="1" t="s">
        <v>74</v>
      </c>
      <c r="AD146" s="1" t="s">
        <v>31</v>
      </c>
      <c r="AE146" s="5"/>
    </row>
    <row r="147" ht="14.25" customHeight="1">
      <c r="A147" s="1" t="s">
        <v>33</v>
      </c>
      <c r="B147" s="1">
        <v>1.1000388E7</v>
      </c>
      <c r="C147" s="1" t="str">
        <f>VLOOKUP(B147,Equipment!A$1:J$575,9,0)</f>
        <v>#N/A</v>
      </c>
      <c r="D147" s="1" t="s">
        <v>2204</v>
      </c>
      <c r="E147" s="1" t="s">
        <v>2205</v>
      </c>
      <c r="F147" s="1" t="s">
        <v>269</v>
      </c>
      <c r="G147" s="1" t="s">
        <v>2209</v>
      </c>
      <c r="H147" s="1" t="s">
        <v>1033</v>
      </c>
      <c r="I147" s="1" t="s">
        <v>1033</v>
      </c>
      <c r="J147" s="1" t="s">
        <v>147</v>
      </c>
      <c r="K147" s="1" t="s">
        <v>2213</v>
      </c>
      <c r="L147" s="1">
        <v>0.75</v>
      </c>
      <c r="M147" s="1" t="s">
        <v>1033</v>
      </c>
      <c r="N147" s="1" t="s">
        <v>2215</v>
      </c>
      <c r="O147" s="1" t="s">
        <v>68</v>
      </c>
      <c r="P147" s="1">
        <v>1041.0</v>
      </c>
      <c r="Q147" s="1" t="s">
        <v>1033</v>
      </c>
      <c r="R147" s="1" t="s">
        <v>2213</v>
      </c>
      <c r="S147" s="1" t="s">
        <v>1317</v>
      </c>
      <c r="T147" s="1" t="s">
        <v>2216</v>
      </c>
      <c r="U147" s="1" t="s">
        <v>71</v>
      </c>
      <c r="V147" s="1" t="s">
        <v>72</v>
      </c>
      <c r="W147" s="1" t="s">
        <v>31</v>
      </c>
      <c r="X147" s="1" t="s">
        <v>31</v>
      </c>
      <c r="Y147" s="1" t="s">
        <v>73</v>
      </c>
      <c r="Z147" s="1" t="s">
        <v>51</v>
      </c>
      <c r="AA147" s="1" t="s">
        <v>31</v>
      </c>
      <c r="AB147" s="1" t="s">
        <v>31</v>
      </c>
      <c r="AC147" s="1" t="s">
        <v>74</v>
      </c>
      <c r="AD147" s="1" t="s">
        <v>31</v>
      </c>
      <c r="AE147" s="5"/>
    </row>
    <row r="148" ht="14.25" customHeight="1">
      <c r="A148" s="1" t="s">
        <v>33</v>
      </c>
      <c r="B148" s="1">
        <v>1.1000389E7</v>
      </c>
      <c r="C148" s="1" t="str">
        <f>VLOOKUP(B148,Equipment!A$1:J$575,9,0)</f>
        <v>E</v>
      </c>
      <c r="D148" s="1" t="s">
        <v>2221</v>
      </c>
      <c r="E148" s="1" t="s">
        <v>2222</v>
      </c>
      <c r="F148" s="1" t="s">
        <v>60</v>
      </c>
      <c r="G148" s="1" t="s">
        <v>61</v>
      </c>
      <c r="H148" s="1" t="s">
        <v>1033</v>
      </c>
      <c r="I148" s="1" t="s">
        <v>1033</v>
      </c>
      <c r="J148" s="1" t="s">
        <v>2226</v>
      </c>
      <c r="K148" s="1" t="s">
        <v>2228</v>
      </c>
      <c r="L148" s="1">
        <v>0.75</v>
      </c>
      <c r="M148" s="1" t="s">
        <v>1033</v>
      </c>
      <c r="N148" s="1" t="s">
        <v>2230</v>
      </c>
      <c r="O148" s="1" t="s">
        <v>68</v>
      </c>
      <c r="P148" s="1">
        <v>1041.0</v>
      </c>
      <c r="Q148" s="1" t="s">
        <v>1033</v>
      </c>
      <c r="R148" s="1" t="s">
        <v>2228</v>
      </c>
      <c r="S148" s="1" t="s">
        <v>1317</v>
      </c>
      <c r="T148" s="1" t="s">
        <v>2232</v>
      </c>
      <c r="U148" s="1" t="s">
        <v>71</v>
      </c>
      <c r="V148" s="1" t="s">
        <v>72</v>
      </c>
      <c r="W148" s="1" t="s">
        <v>31</v>
      </c>
      <c r="X148" s="1" t="s">
        <v>31</v>
      </c>
      <c r="Y148" s="1" t="s">
        <v>73</v>
      </c>
      <c r="Z148" s="1" t="s">
        <v>51</v>
      </c>
      <c r="AA148" s="1" t="s">
        <v>31</v>
      </c>
      <c r="AB148" s="1" t="s">
        <v>31</v>
      </c>
      <c r="AC148" s="1" t="s">
        <v>74</v>
      </c>
      <c r="AD148" s="1" t="s">
        <v>31</v>
      </c>
      <c r="AE148" s="5"/>
    </row>
    <row r="149" ht="14.25" customHeight="1">
      <c r="A149" s="1" t="s">
        <v>33</v>
      </c>
      <c r="B149" s="1">
        <v>1.1000389E7</v>
      </c>
      <c r="C149" s="1" t="str">
        <f>VLOOKUP(B149,Equipment!A$1:J$575,9,0)</f>
        <v>E</v>
      </c>
      <c r="D149" s="1" t="s">
        <v>2239</v>
      </c>
      <c r="E149" s="1" t="s">
        <v>2240</v>
      </c>
      <c r="F149" s="1" t="s">
        <v>60</v>
      </c>
      <c r="G149" s="1" t="s">
        <v>2243</v>
      </c>
      <c r="H149" s="1" t="s">
        <v>1033</v>
      </c>
      <c r="I149" s="1" t="s">
        <v>1033</v>
      </c>
      <c r="J149" s="1" t="s">
        <v>2142</v>
      </c>
      <c r="K149" s="1" t="s">
        <v>2244</v>
      </c>
      <c r="L149" s="1">
        <v>0.5</v>
      </c>
      <c r="M149" s="1" t="s">
        <v>1033</v>
      </c>
      <c r="N149" s="1" t="s">
        <v>2245</v>
      </c>
      <c r="O149" s="1" t="s">
        <v>68</v>
      </c>
      <c r="P149" s="1">
        <v>1041.0</v>
      </c>
      <c r="Q149" s="1" t="s">
        <v>1033</v>
      </c>
      <c r="R149" s="1" t="s">
        <v>2244</v>
      </c>
      <c r="S149" s="1" t="s">
        <v>1317</v>
      </c>
      <c r="T149" s="1" t="s">
        <v>2248</v>
      </c>
      <c r="U149" s="1" t="s">
        <v>71</v>
      </c>
      <c r="V149" s="1" t="s">
        <v>72</v>
      </c>
      <c r="W149" s="1" t="s">
        <v>31</v>
      </c>
      <c r="X149" s="1" t="s">
        <v>31</v>
      </c>
      <c r="Y149" s="1" t="s">
        <v>73</v>
      </c>
      <c r="Z149" s="1" t="s">
        <v>51</v>
      </c>
      <c r="AA149" s="1" t="s">
        <v>31</v>
      </c>
      <c r="AB149" s="1" t="s">
        <v>31</v>
      </c>
      <c r="AC149" s="1" t="s">
        <v>74</v>
      </c>
      <c r="AD149" s="1" t="s">
        <v>31</v>
      </c>
      <c r="AE149" s="5"/>
    </row>
    <row r="150" ht="14.25" customHeight="1">
      <c r="A150" s="1" t="s">
        <v>33</v>
      </c>
      <c r="B150" s="1">
        <v>1.1000389E7</v>
      </c>
      <c r="C150" s="1" t="str">
        <f>VLOOKUP(B150,Equipment!A$1:J$575,9,0)</f>
        <v>E</v>
      </c>
      <c r="D150" s="1" t="s">
        <v>2256</v>
      </c>
      <c r="E150" s="1" t="s">
        <v>2257</v>
      </c>
      <c r="F150" s="1" t="s">
        <v>60</v>
      </c>
      <c r="G150" s="1" t="s">
        <v>2258</v>
      </c>
      <c r="H150" s="1" t="s">
        <v>1033</v>
      </c>
      <c r="I150" s="1" t="s">
        <v>1033</v>
      </c>
      <c r="J150" s="1" t="s">
        <v>2226</v>
      </c>
      <c r="K150" s="1" t="s">
        <v>2259</v>
      </c>
      <c r="L150" s="1">
        <v>0.75</v>
      </c>
      <c r="M150" s="1" t="s">
        <v>1033</v>
      </c>
      <c r="N150" s="1" t="s">
        <v>2260</v>
      </c>
      <c r="O150" s="1" t="s">
        <v>68</v>
      </c>
      <c r="P150" s="1">
        <v>1041.0</v>
      </c>
      <c r="Q150" s="1" t="s">
        <v>1033</v>
      </c>
      <c r="R150" s="1" t="s">
        <v>2259</v>
      </c>
      <c r="S150" s="1" t="s">
        <v>1317</v>
      </c>
      <c r="T150" s="1" t="s">
        <v>2261</v>
      </c>
      <c r="U150" s="1" t="s">
        <v>71</v>
      </c>
      <c r="V150" s="1" t="s">
        <v>72</v>
      </c>
      <c r="W150" s="1" t="s">
        <v>31</v>
      </c>
      <c r="X150" s="1" t="s">
        <v>1033</v>
      </c>
      <c r="Y150" s="1" t="s">
        <v>2263</v>
      </c>
      <c r="Z150" s="1" t="s">
        <v>51</v>
      </c>
      <c r="AA150" s="1" t="s">
        <v>31</v>
      </c>
      <c r="AB150" s="1" t="s">
        <v>31</v>
      </c>
      <c r="AC150" s="1" t="s">
        <v>74</v>
      </c>
      <c r="AD150" s="1" t="s">
        <v>31</v>
      </c>
      <c r="AE150" s="5"/>
    </row>
    <row r="151" ht="14.25" customHeight="1">
      <c r="A151" s="1" t="s">
        <v>33</v>
      </c>
      <c r="B151" s="1">
        <v>1.1000389E7</v>
      </c>
      <c r="C151" s="1" t="str">
        <f>VLOOKUP(B151,Equipment!A$1:J$575,9,0)</f>
        <v>E</v>
      </c>
      <c r="D151" s="1" t="s">
        <v>2266</v>
      </c>
      <c r="E151" s="1" t="s">
        <v>2267</v>
      </c>
      <c r="F151" s="1" t="s">
        <v>60</v>
      </c>
      <c r="G151" s="1" t="s">
        <v>2269</v>
      </c>
      <c r="H151" s="1" t="s">
        <v>1033</v>
      </c>
      <c r="I151" s="1" t="s">
        <v>1033</v>
      </c>
      <c r="J151" s="1" t="s">
        <v>2270</v>
      </c>
      <c r="K151" s="1" t="s">
        <v>2271</v>
      </c>
      <c r="L151" s="1">
        <v>0.76</v>
      </c>
      <c r="M151" s="1" t="s">
        <v>1033</v>
      </c>
      <c r="N151" s="1" t="s">
        <v>2272</v>
      </c>
      <c r="O151" s="1" t="s">
        <v>68</v>
      </c>
      <c r="P151" s="1">
        <v>1041.0</v>
      </c>
      <c r="Q151" s="1" t="s">
        <v>1033</v>
      </c>
      <c r="R151" s="1" t="s">
        <v>2271</v>
      </c>
      <c r="S151" s="1" t="s">
        <v>1317</v>
      </c>
      <c r="T151" s="1" t="s">
        <v>2275</v>
      </c>
      <c r="U151" s="1" t="s">
        <v>71</v>
      </c>
      <c r="V151" s="1" t="s">
        <v>72</v>
      </c>
      <c r="W151" s="1" t="s">
        <v>31</v>
      </c>
      <c r="X151" s="1" t="s">
        <v>1033</v>
      </c>
      <c r="Y151" s="1" t="s">
        <v>2275</v>
      </c>
      <c r="Z151" s="1" t="s">
        <v>51</v>
      </c>
      <c r="AA151" s="1" t="s">
        <v>31</v>
      </c>
      <c r="AB151" s="1" t="s">
        <v>31</v>
      </c>
      <c r="AC151" s="1" t="s">
        <v>74</v>
      </c>
      <c r="AD151" s="1" t="s">
        <v>31</v>
      </c>
      <c r="AE151" s="5"/>
    </row>
    <row r="152" ht="14.25" customHeight="1">
      <c r="A152" s="1" t="s">
        <v>33</v>
      </c>
      <c r="B152" s="1">
        <v>1.1000452E7</v>
      </c>
      <c r="C152" s="1" t="str">
        <f>VLOOKUP(B152,Equipment!A$1:J$575,9,0)</f>
        <v>E</v>
      </c>
      <c r="D152" s="1" t="s">
        <v>2287</v>
      </c>
      <c r="E152" s="1" t="s">
        <v>2289</v>
      </c>
      <c r="F152" s="1" t="s">
        <v>180</v>
      </c>
      <c r="G152" s="1" t="s">
        <v>2292</v>
      </c>
      <c r="H152" s="1" t="s">
        <v>1033</v>
      </c>
      <c r="I152" s="1" t="s">
        <v>1033</v>
      </c>
      <c r="J152" s="1" t="s">
        <v>1157</v>
      </c>
      <c r="K152" s="1" t="s">
        <v>2294</v>
      </c>
      <c r="L152" s="1">
        <v>0.5</v>
      </c>
      <c r="M152" s="1" t="s">
        <v>1033</v>
      </c>
      <c r="N152" s="1" t="s">
        <v>2295</v>
      </c>
      <c r="O152" s="1" t="s">
        <v>68</v>
      </c>
      <c r="P152" s="1">
        <v>1041.0</v>
      </c>
      <c r="Q152" s="1" t="s">
        <v>1033</v>
      </c>
      <c r="R152" s="1" t="s">
        <v>2294</v>
      </c>
      <c r="S152" s="1" t="s">
        <v>1945</v>
      </c>
      <c r="T152" s="1" t="s">
        <v>2297</v>
      </c>
      <c r="U152" s="1" t="s">
        <v>71</v>
      </c>
      <c r="V152" s="1" t="s">
        <v>72</v>
      </c>
      <c r="W152" s="1" t="s">
        <v>31</v>
      </c>
      <c r="X152" s="1" t="s">
        <v>31</v>
      </c>
      <c r="Y152" s="1" t="s">
        <v>73</v>
      </c>
      <c r="Z152" s="1" t="s">
        <v>51</v>
      </c>
      <c r="AA152" s="1" t="s">
        <v>31</v>
      </c>
      <c r="AB152" s="1" t="s">
        <v>31</v>
      </c>
      <c r="AC152" s="1" t="s">
        <v>74</v>
      </c>
      <c r="AD152" s="1" t="s">
        <v>31</v>
      </c>
      <c r="AE152" s="5"/>
    </row>
    <row r="153" ht="14.25" customHeight="1">
      <c r="A153" s="1" t="s">
        <v>33</v>
      </c>
      <c r="B153" s="1">
        <v>1.1000206E7</v>
      </c>
      <c r="C153" s="1" t="str">
        <f>VLOOKUP(B153,Equipment!A$1:J$575,9,0)</f>
        <v>E</v>
      </c>
      <c r="D153" s="1" t="s">
        <v>2308</v>
      </c>
      <c r="E153" s="1" t="s">
        <v>2309</v>
      </c>
      <c r="F153" s="1" t="s">
        <v>115</v>
      </c>
      <c r="G153" s="1" t="s">
        <v>1422</v>
      </c>
      <c r="H153" s="1" t="s">
        <v>1033</v>
      </c>
      <c r="I153" s="1" t="s">
        <v>1033</v>
      </c>
      <c r="J153" s="1" t="s">
        <v>2311</v>
      </c>
      <c r="K153" s="1" t="s">
        <v>2314</v>
      </c>
      <c r="L153" s="1">
        <v>2.49</v>
      </c>
      <c r="M153" s="1" t="s">
        <v>1033</v>
      </c>
      <c r="N153" s="1" t="s">
        <v>2311</v>
      </c>
      <c r="O153" s="1" t="s">
        <v>121</v>
      </c>
      <c r="P153" s="1">
        <v>2001.0</v>
      </c>
      <c r="Q153" s="1" t="s">
        <v>1033</v>
      </c>
      <c r="R153" s="1" t="s">
        <v>2315</v>
      </c>
      <c r="S153" s="1" t="s">
        <v>1033</v>
      </c>
      <c r="T153" s="1" t="s">
        <v>2316</v>
      </c>
      <c r="U153" s="1" t="s">
        <v>71</v>
      </c>
      <c r="V153" s="1" t="s">
        <v>72</v>
      </c>
      <c r="W153" s="1" t="s">
        <v>31</v>
      </c>
      <c r="X153" s="1" t="s">
        <v>1033</v>
      </c>
      <c r="Y153" s="1" t="s">
        <v>2311</v>
      </c>
      <c r="Z153" s="1" t="s">
        <v>51</v>
      </c>
      <c r="AA153" s="1" t="s">
        <v>31</v>
      </c>
      <c r="AB153" s="1" t="s">
        <v>31</v>
      </c>
      <c r="AC153" s="1" t="s">
        <v>122</v>
      </c>
      <c r="AD153" s="1" t="s">
        <v>31</v>
      </c>
      <c r="AE153" s="5"/>
    </row>
    <row r="154" ht="14.25" customHeight="1">
      <c r="A154" s="1" t="s">
        <v>33</v>
      </c>
      <c r="B154" s="1">
        <v>1.1000228E7</v>
      </c>
      <c r="C154" s="1" t="str">
        <f>VLOOKUP(B154,Equipment!A$1:J$575,9,0)</f>
        <v>E</v>
      </c>
      <c r="D154" s="1" t="s">
        <v>2324</v>
      </c>
      <c r="E154" s="1" t="s">
        <v>2325</v>
      </c>
      <c r="F154" s="1" t="s">
        <v>483</v>
      </c>
      <c r="G154" s="1" t="s">
        <v>2326</v>
      </c>
      <c r="H154" s="1" t="s">
        <v>1033</v>
      </c>
      <c r="I154" s="1" t="s">
        <v>1033</v>
      </c>
      <c r="J154" s="1" t="s">
        <v>1932</v>
      </c>
      <c r="K154" s="1" t="s">
        <v>348</v>
      </c>
      <c r="L154" s="1">
        <v>0.67</v>
      </c>
      <c r="M154" s="1" t="s">
        <v>1033</v>
      </c>
      <c r="N154" s="1" t="s">
        <v>1932</v>
      </c>
      <c r="O154" s="1" t="s">
        <v>131</v>
      </c>
      <c r="P154" s="1">
        <v>2001.0</v>
      </c>
      <c r="Q154" s="1" t="s">
        <v>1033</v>
      </c>
      <c r="R154" s="1" t="s">
        <v>348</v>
      </c>
      <c r="S154" s="1" t="s">
        <v>31</v>
      </c>
      <c r="T154" s="1" t="s">
        <v>73</v>
      </c>
      <c r="U154" s="1" t="s">
        <v>71</v>
      </c>
      <c r="V154" s="1" t="s">
        <v>72</v>
      </c>
      <c r="W154" s="1" t="s">
        <v>31</v>
      </c>
      <c r="X154" s="1" t="s">
        <v>1033</v>
      </c>
      <c r="Y154" s="1" t="s">
        <v>2328</v>
      </c>
      <c r="Z154" s="1" t="s">
        <v>51</v>
      </c>
      <c r="AA154" s="1" t="s">
        <v>31</v>
      </c>
      <c r="AB154" s="1" t="s">
        <v>31</v>
      </c>
      <c r="AC154" s="1" t="s">
        <v>137</v>
      </c>
      <c r="AD154" s="1" t="s">
        <v>31</v>
      </c>
      <c r="AE154" s="5"/>
    </row>
    <row r="155" ht="14.25" customHeight="1">
      <c r="A155" s="1" t="s">
        <v>33</v>
      </c>
      <c r="B155" s="1">
        <v>1.1000252E7</v>
      </c>
      <c r="C155" s="1" t="str">
        <f>VLOOKUP(B155,Equipment!A$1:J$575,9,0)</f>
        <v>E</v>
      </c>
      <c r="D155" s="1" t="s">
        <v>2333</v>
      </c>
      <c r="E155" s="1" t="s">
        <v>2334</v>
      </c>
      <c r="F155" s="1" t="s">
        <v>505</v>
      </c>
      <c r="G155" s="1" t="s">
        <v>2335</v>
      </c>
      <c r="H155" s="1" t="s">
        <v>1033</v>
      </c>
      <c r="I155" s="1" t="s">
        <v>1033</v>
      </c>
      <c r="J155" s="1" t="s">
        <v>318</v>
      </c>
      <c r="K155" s="1" t="s">
        <v>2336</v>
      </c>
      <c r="L155" s="1">
        <v>1.76</v>
      </c>
      <c r="M155" s="1" t="s">
        <v>1033</v>
      </c>
      <c r="N155" s="1" t="s">
        <v>318</v>
      </c>
      <c r="O155" s="1" t="s">
        <v>131</v>
      </c>
      <c r="P155" s="1">
        <v>2001.0</v>
      </c>
      <c r="Q155" s="1" t="s">
        <v>1033</v>
      </c>
      <c r="R155" s="1" t="s">
        <v>2336</v>
      </c>
      <c r="S155" s="1" t="s">
        <v>1033</v>
      </c>
      <c r="T155" s="1" t="s">
        <v>2338</v>
      </c>
      <c r="U155" s="1" t="s">
        <v>71</v>
      </c>
      <c r="V155" s="1" t="s">
        <v>72</v>
      </c>
      <c r="W155" s="1" t="s">
        <v>31</v>
      </c>
      <c r="X155" s="1" t="s">
        <v>1033</v>
      </c>
      <c r="Y155" s="1" t="s">
        <v>318</v>
      </c>
      <c r="Z155" s="1" t="s">
        <v>51</v>
      </c>
      <c r="AA155" s="1" t="s">
        <v>31</v>
      </c>
      <c r="AB155" s="1" t="s">
        <v>31</v>
      </c>
      <c r="AC155" s="1" t="s">
        <v>538</v>
      </c>
      <c r="AD155" s="1" t="s">
        <v>31</v>
      </c>
      <c r="AE155" s="5"/>
    </row>
    <row r="156" ht="14.25" customHeight="1">
      <c r="A156" s="1" t="s">
        <v>33</v>
      </c>
      <c r="B156" s="1">
        <v>1.1000302E7</v>
      </c>
      <c r="C156" s="1" t="str">
        <f>VLOOKUP(B156,Equipment!A$1:J$575,9,0)</f>
        <v>E</v>
      </c>
      <c r="D156" s="1" t="s">
        <v>2341</v>
      </c>
      <c r="E156" s="1" t="s">
        <v>2342</v>
      </c>
      <c r="F156" s="1" t="s">
        <v>337</v>
      </c>
      <c r="G156" s="1" t="s">
        <v>2343</v>
      </c>
      <c r="H156" s="1" t="s">
        <v>1033</v>
      </c>
      <c r="I156" s="1" t="s">
        <v>1945</v>
      </c>
      <c r="J156" s="1" t="s">
        <v>2344</v>
      </c>
      <c r="K156" s="1" t="s">
        <v>2345</v>
      </c>
      <c r="L156" s="1">
        <v>2.92</v>
      </c>
      <c r="M156" s="1" t="s">
        <v>1033</v>
      </c>
      <c r="N156" s="1" t="s">
        <v>2344</v>
      </c>
      <c r="O156" s="1" t="s">
        <v>131</v>
      </c>
      <c r="P156" s="1">
        <v>2001.0</v>
      </c>
      <c r="Q156" s="1" t="s">
        <v>1945</v>
      </c>
      <c r="R156" s="1" t="s">
        <v>2345</v>
      </c>
      <c r="S156" s="1" t="s">
        <v>1945</v>
      </c>
      <c r="T156" s="1" t="s">
        <v>2345</v>
      </c>
      <c r="U156" s="1" t="s">
        <v>71</v>
      </c>
      <c r="V156" s="1" t="s">
        <v>72</v>
      </c>
      <c r="W156" s="1" t="s">
        <v>31</v>
      </c>
      <c r="X156" s="1" t="s">
        <v>1033</v>
      </c>
      <c r="Y156" s="1" t="s">
        <v>2344</v>
      </c>
      <c r="Z156" s="1" t="s">
        <v>51</v>
      </c>
      <c r="AA156" s="1" t="s">
        <v>31</v>
      </c>
      <c r="AB156" s="1" t="s">
        <v>31</v>
      </c>
      <c r="AC156" s="1" t="s">
        <v>137</v>
      </c>
      <c r="AD156" s="1" t="s">
        <v>31</v>
      </c>
      <c r="AE156" s="5"/>
    </row>
    <row r="157" ht="14.25" customHeight="1">
      <c r="A157" s="1" t="s">
        <v>33</v>
      </c>
      <c r="B157" s="1">
        <v>1.1000333E7</v>
      </c>
      <c r="C157" s="1" t="str">
        <f>VLOOKUP(B157,Equipment!A$1:J$575,9,0)</f>
        <v>E</v>
      </c>
      <c r="D157" s="1" t="s">
        <v>2349</v>
      </c>
      <c r="E157" s="1" t="s">
        <v>2350</v>
      </c>
      <c r="F157" s="1" t="s">
        <v>765</v>
      </c>
      <c r="G157" s="1" t="s">
        <v>2354</v>
      </c>
      <c r="H157" s="1" t="s">
        <v>1033</v>
      </c>
      <c r="I157" s="1" t="s">
        <v>1033</v>
      </c>
      <c r="J157" s="1" t="s">
        <v>130</v>
      </c>
      <c r="K157" s="1" t="s">
        <v>662</v>
      </c>
      <c r="L157" s="1">
        <v>0.67</v>
      </c>
      <c r="M157" s="1" t="s">
        <v>1033</v>
      </c>
      <c r="N157" s="1" t="s">
        <v>130</v>
      </c>
      <c r="O157" s="1" t="s">
        <v>131</v>
      </c>
      <c r="P157" s="1">
        <v>2001.0</v>
      </c>
      <c r="Q157" s="1" t="s">
        <v>1033</v>
      </c>
      <c r="R157" s="1" t="s">
        <v>662</v>
      </c>
      <c r="S157" s="1" t="s">
        <v>31</v>
      </c>
      <c r="T157" s="1" t="s">
        <v>73</v>
      </c>
      <c r="U157" s="1" t="s">
        <v>71</v>
      </c>
      <c r="V157" s="1" t="s">
        <v>72</v>
      </c>
      <c r="W157" s="1" t="s">
        <v>31</v>
      </c>
      <c r="X157" s="1" t="s">
        <v>1033</v>
      </c>
      <c r="Y157" s="1" t="s">
        <v>2359</v>
      </c>
      <c r="Z157" s="1" t="s">
        <v>51</v>
      </c>
      <c r="AA157" s="1" t="s">
        <v>31</v>
      </c>
      <c r="AB157" s="1" t="s">
        <v>31</v>
      </c>
      <c r="AC157" s="1" t="s">
        <v>137</v>
      </c>
      <c r="AD157" s="1" t="s">
        <v>31</v>
      </c>
      <c r="AE157" s="5"/>
    </row>
    <row r="158" ht="14.25" customHeight="1">
      <c r="A158" s="1" t="s">
        <v>33</v>
      </c>
      <c r="B158" s="1">
        <v>1.1000378E7</v>
      </c>
      <c r="C158" s="1" t="str">
        <f>VLOOKUP(B158,Equipment!A$1:J$575,9,0)</f>
        <v>E</v>
      </c>
      <c r="D158" s="1" t="s">
        <v>2363</v>
      </c>
      <c r="E158" s="1" t="s">
        <v>2364</v>
      </c>
      <c r="F158" s="1" t="s">
        <v>833</v>
      </c>
      <c r="G158" s="1" t="s">
        <v>2365</v>
      </c>
      <c r="H158" s="1" t="s">
        <v>2366</v>
      </c>
      <c r="I158" s="1" t="s">
        <v>2172</v>
      </c>
      <c r="J158" s="1" t="s">
        <v>2367</v>
      </c>
      <c r="K158" s="1" t="s">
        <v>2368</v>
      </c>
      <c r="L158" s="1">
        <v>0.56</v>
      </c>
      <c r="M158" s="1" t="s">
        <v>2366</v>
      </c>
      <c r="N158" s="1" t="s">
        <v>2369</v>
      </c>
      <c r="O158" s="1" t="s">
        <v>68</v>
      </c>
      <c r="P158" s="1">
        <v>1041.0</v>
      </c>
      <c r="Q158" s="1" t="s">
        <v>2172</v>
      </c>
      <c r="R158" s="1" t="s">
        <v>2368</v>
      </c>
      <c r="S158" s="1" t="s">
        <v>1033</v>
      </c>
      <c r="T158" s="1" t="s">
        <v>2370</v>
      </c>
      <c r="U158" s="1" t="s">
        <v>71</v>
      </c>
      <c r="V158" s="1" t="s">
        <v>72</v>
      </c>
      <c r="W158" s="1" t="s">
        <v>31</v>
      </c>
      <c r="X158" s="1" t="s">
        <v>2366</v>
      </c>
      <c r="Y158" s="1" t="s">
        <v>2370</v>
      </c>
      <c r="Z158" s="1" t="s">
        <v>51</v>
      </c>
      <c r="AA158" s="1" t="s">
        <v>31</v>
      </c>
      <c r="AB158" s="1" t="s">
        <v>31</v>
      </c>
      <c r="AC158" s="1" t="s">
        <v>74</v>
      </c>
      <c r="AD158" s="1" t="s">
        <v>31</v>
      </c>
      <c r="AE158" s="5"/>
    </row>
    <row r="159" ht="14.25" customHeight="1">
      <c r="A159" s="1" t="s">
        <v>33</v>
      </c>
      <c r="B159" s="1">
        <v>1.1000379E7</v>
      </c>
      <c r="C159" s="1" t="str">
        <f>VLOOKUP(B159,Equipment!A$1:J$575,9,0)</f>
        <v>E</v>
      </c>
      <c r="D159" s="1" t="s">
        <v>2377</v>
      </c>
      <c r="E159" s="1" t="s">
        <v>2378</v>
      </c>
      <c r="F159" s="1" t="s">
        <v>386</v>
      </c>
      <c r="G159" s="1" t="s">
        <v>2380</v>
      </c>
      <c r="H159" s="1" t="s">
        <v>2366</v>
      </c>
      <c r="I159" s="1" t="s">
        <v>2172</v>
      </c>
      <c r="J159" s="1" t="s">
        <v>2381</v>
      </c>
      <c r="K159" s="1" t="s">
        <v>2382</v>
      </c>
      <c r="L159" s="1">
        <v>0.91</v>
      </c>
      <c r="M159" s="1" t="s">
        <v>2366</v>
      </c>
      <c r="N159" s="1" t="s">
        <v>2381</v>
      </c>
      <c r="O159" s="1" t="s">
        <v>68</v>
      </c>
      <c r="P159" s="1">
        <v>1041.0</v>
      </c>
      <c r="Q159" s="1" t="s">
        <v>2172</v>
      </c>
      <c r="R159" s="1" t="s">
        <v>2382</v>
      </c>
      <c r="S159" s="1" t="s">
        <v>1033</v>
      </c>
      <c r="T159" s="1" t="s">
        <v>2385</v>
      </c>
      <c r="U159" s="1" t="s">
        <v>71</v>
      </c>
      <c r="V159" s="1" t="s">
        <v>72</v>
      </c>
      <c r="W159" s="1" t="s">
        <v>31</v>
      </c>
      <c r="X159" s="1" t="s">
        <v>31</v>
      </c>
      <c r="Y159" s="1" t="s">
        <v>73</v>
      </c>
      <c r="Z159" s="1" t="s">
        <v>51</v>
      </c>
      <c r="AA159" s="1" t="s">
        <v>31</v>
      </c>
      <c r="AB159" s="1" t="s">
        <v>31</v>
      </c>
      <c r="AC159" s="1" t="s">
        <v>74</v>
      </c>
      <c r="AD159" s="1" t="s">
        <v>31</v>
      </c>
      <c r="AE159" s="5"/>
    </row>
    <row r="160" ht="14.25" customHeight="1">
      <c r="A160" s="1" t="s">
        <v>33</v>
      </c>
      <c r="B160" s="1">
        <v>1.1000379E7</v>
      </c>
      <c r="C160" s="1" t="str">
        <f>VLOOKUP(B160,Equipment!A$1:J$575,9,0)</f>
        <v>E</v>
      </c>
      <c r="D160" s="1" t="s">
        <v>2389</v>
      </c>
      <c r="E160" s="1" t="s">
        <v>2390</v>
      </c>
      <c r="F160" s="1" t="s">
        <v>386</v>
      </c>
      <c r="G160" s="1" t="s">
        <v>2391</v>
      </c>
      <c r="H160" s="1" t="s">
        <v>2366</v>
      </c>
      <c r="I160" s="1" t="s">
        <v>2172</v>
      </c>
      <c r="J160" s="1" t="s">
        <v>2392</v>
      </c>
      <c r="K160" s="1" t="s">
        <v>2393</v>
      </c>
      <c r="L160" s="1">
        <v>0.37</v>
      </c>
      <c r="M160" s="1" t="s">
        <v>2366</v>
      </c>
      <c r="N160" s="1" t="s">
        <v>2394</v>
      </c>
      <c r="O160" s="1" t="s">
        <v>68</v>
      </c>
      <c r="P160" s="1">
        <v>1041.0</v>
      </c>
      <c r="Q160" s="1" t="s">
        <v>2172</v>
      </c>
      <c r="R160" s="1" t="s">
        <v>2393</v>
      </c>
      <c r="S160" s="1" t="s">
        <v>1490</v>
      </c>
      <c r="T160" s="1" t="s">
        <v>2398</v>
      </c>
      <c r="U160" s="1" t="s">
        <v>71</v>
      </c>
      <c r="V160" s="1" t="s">
        <v>72</v>
      </c>
      <c r="W160" s="1" t="s">
        <v>31</v>
      </c>
      <c r="X160" s="1" t="s">
        <v>2366</v>
      </c>
      <c r="Y160" s="1" t="s">
        <v>2398</v>
      </c>
      <c r="Z160" s="1" t="s">
        <v>51</v>
      </c>
      <c r="AA160" s="1" t="s">
        <v>31</v>
      </c>
      <c r="AB160" s="1" t="s">
        <v>31</v>
      </c>
      <c r="AC160" s="1" t="s">
        <v>74</v>
      </c>
      <c r="AD160" s="1" t="s">
        <v>31</v>
      </c>
      <c r="AE160" s="5"/>
    </row>
    <row r="161" ht="14.25" customHeight="1">
      <c r="A161" s="1" t="s">
        <v>33</v>
      </c>
      <c r="B161" s="1">
        <v>1.100038E7</v>
      </c>
      <c r="C161" s="1" t="str">
        <f>VLOOKUP(B161,Equipment!A$1:J$575,9,0)</f>
        <v>E</v>
      </c>
      <c r="D161" s="1" t="s">
        <v>2405</v>
      </c>
      <c r="E161" s="1" t="s">
        <v>2406</v>
      </c>
      <c r="F161" s="1" t="s">
        <v>545</v>
      </c>
      <c r="G161" s="1" t="s">
        <v>2408</v>
      </c>
      <c r="H161" s="1" t="s">
        <v>2366</v>
      </c>
      <c r="I161" s="1" t="s">
        <v>1030</v>
      </c>
      <c r="J161" s="1" t="s">
        <v>2410</v>
      </c>
      <c r="K161" s="1" t="s">
        <v>2411</v>
      </c>
      <c r="L161" s="1">
        <v>0.76</v>
      </c>
      <c r="M161" s="1" t="s">
        <v>2366</v>
      </c>
      <c r="N161" s="1" t="s">
        <v>2410</v>
      </c>
      <c r="O161" s="1" t="s">
        <v>68</v>
      </c>
      <c r="P161" s="1">
        <v>1041.0</v>
      </c>
      <c r="Q161" s="1" t="s">
        <v>1030</v>
      </c>
      <c r="R161" s="1" t="s">
        <v>2411</v>
      </c>
      <c r="S161" s="1" t="s">
        <v>1490</v>
      </c>
      <c r="T161" s="1" t="s">
        <v>2414</v>
      </c>
      <c r="U161" s="1" t="s">
        <v>71</v>
      </c>
      <c r="V161" s="1" t="s">
        <v>72</v>
      </c>
      <c r="W161" s="1" t="s">
        <v>31</v>
      </c>
      <c r="X161" s="1" t="s">
        <v>31</v>
      </c>
      <c r="Y161" s="1" t="s">
        <v>73</v>
      </c>
      <c r="Z161" s="1" t="s">
        <v>51</v>
      </c>
      <c r="AA161" s="1" t="s">
        <v>31</v>
      </c>
      <c r="AB161" s="1" t="s">
        <v>31</v>
      </c>
      <c r="AC161" s="1" t="s">
        <v>74</v>
      </c>
      <c r="AD161" s="1" t="s">
        <v>31</v>
      </c>
      <c r="AE161" s="5"/>
    </row>
    <row r="162" ht="14.25" customHeight="1">
      <c r="A162" s="1" t="s">
        <v>33</v>
      </c>
      <c r="B162" s="1">
        <v>1.100038E7</v>
      </c>
      <c r="C162" s="1" t="str">
        <f>VLOOKUP(B162,Equipment!A$1:J$575,9,0)</f>
        <v>E</v>
      </c>
      <c r="D162" s="1" t="s">
        <v>2417</v>
      </c>
      <c r="E162" s="1" t="s">
        <v>2419</v>
      </c>
      <c r="F162" s="1" t="s">
        <v>545</v>
      </c>
      <c r="G162" s="1" t="s">
        <v>2423</v>
      </c>
      <c r="H162" s="1" t="s">
        <v>2366</v>
      </c>
      <c r="I162" s="1" t="s">
        <v>2366</v>
      </c>
      <c r="J162" s="1" t="s">
        <v>2424</v>
      </c>
      <c r="K162" s="1" t="s">
        <v>2425</v>
      </c>
      <c r="L162" s="1">
        <v>0.7</v>
      </c>
      <c r="M162" s="1" t="s">
        <v>2366</v>
      </c>
      <c r="N162" s="1" t="s">
        <v>2426</v>
      </c>
      <c r="O162" s="1" t="s">
        <v>68</v>
      </c>
      <c r="P162" s="1">
        <v>1041.0</v>
      </c>
      <c r="Q162" s="1" t="s">
        <v>2366</v>
      </c>
      <c r="R162" s="1" t="s">
        <v>2425</v>
      </c>
      <c r="S162" s="1" t="s">
        <v>1033</v>
      </c>
      <c r="T162" s="1" t="s">
        <v>2427</v>
      </c>
      <c r="U162" s="1" t="s">
        <v>71</v>
      </c>
      <c r="V162" s="1" t="s">
        <v>72</v>
      </c>
      <c r="W162" s="1" t="s">
        <v>31</v>
      </c>
      <c r="X162" s="1" t="s">
        <v>2366</v>
      </c>
      <c r="Y162" s="1" t="s">
        <v>2427</v>
      </c>
      <c r="Z162" s="1" t="s">
        <v>51</v>
      </c>
      <c r="AA162" s="1" t="s">
        <v>31</v>
      </c>
      <c r="AB162" s="1" t="s">
        <v>31</v>
      </c>
      <c r="AC162" s="1" t="s">
        <v>74</v>
      </c>
      <c r="AD162" s="1" t="s">
        <v>31</v>
      </c>
      <c r="AE162" s="5"/>
    </row>
    <row r="163" ht="14.25" customHeight="1">
      <c r="A163" s="1" t="s">
        <v>33</v>
      </c>
      <c r="B163" s="1">
        <v>1.1000384E7</v>
      </c>
      <c r="C163" s="1" t="str">
        <f>VLOOKUP(B163,Equipment!A$1:J$575,9,0)</f>
        <v>E</v>
      </c>
      <c r="D163" s="1" t="s">
        <v>2440</v>
      </c>
      <c r="E163" s="1" t="s">
        <v>2442</v>
      </c>
      <c r="F163" s="1" t="s">
        <v>575</v>
      </c>
      <c r="G163" s="1" t="s">
        <v>1369</v>
      </c>
      <c r="H163" s="1" t="s">
        <v>2366</v>
      </c>
      <c r="I163" s="1" t="s">
        <v>2366</v>
      </c>
      <c r="J163" s="1" t="s">
        <v>2446</v>
      </c>
      <c r="K163" s="1" t="s">
        <v>2447</v>
      </c>
      <c r="L163" s="1">
        <v>0.5</v>
      </c>
      <c r="M163" s="1" t="s">
        <v>2366</v>
      </c>
      <c r="N163" s="1" t="s">
        <v>2449</v>
      </c>
      <c r="O163" s="1" t="s">
        <v>68</v>
      </c>
      <c r="P163" s="1">
        <v>1041.0</v>
      </c>
      <c r="Q163" s="1" t="s">
        <v>2366</v>
      </c>
      <c r="R163" s="1" t="s">
        <v>2447</v>
      </c>
      <c r="S163" s="1" t="s">
        <v>31</v>
      </c>
      <c r="T163" s="1" t="s">
        <v>73</v>
      </c>
      <c r="U163" s="1" t="s">
        <v>71</v>
      </c>
      <c r="V163" s="1" t="s">
        <v>72</v>
      </c>
      <c r="W163" s="1" t="s">
        <v>31</v>
      </c>
      <c r="X163" s="1" t="s">
        <v>2366</v>
      </c>
      <c r="Y163" s="1" t="s">
        <v>2454</v>
      </c>
      <c r="Z163" s="1" t="s">
        <v>51</v>
      </c>
      <c r="AA163" s="1" t="s">
        <v>31</v>
      </c>
      <c r="AB163" s="1" t="s">
        <v>31</v>
      </c>
      <c r="AC163" s="1" t="s">
        <v>74</v>
      </c>
      <c r="AD163" s="1" t="s">
        <v>31</v>
      </c>
      <c r="AE163" s="5"/>
    </row>
    <row r="164" ht="14.25" customHeight="1">
      <c r="A164" s="1" t="s">
        <v>33</v>
      </c>
      <c r="B164" s="1">
        <v>1.1000387E7</v>
      </c>
      <c r="C164" s="1" t="str">
        <f>VLOOKUP(B164,Equipment!A$1:J$575,9,0)</f>
        <v>#N/A</v>
      </c>
      <c r="D164" s="1" t="s">
        <v>2460</v>
      </c>
      <c r="E164" s="1" t="s">
        <v>2461</v>
      </c>
      <c r="F164" s="1" t="s">
        <v>255</v>
      </c>
      <c r="G164" s="1" t="s">
        <v>2463</v>
      </c>
      <c r="H164" s="1" t="s">
        <v>2366</v>
      </c>
      <c r="I164" s="1" t="s">
        <v>2366</v>
      </c>
      <c r="J164" s="1" t="s">
        <v>1175</v>
      </c>
      <c r="K164" s="1" t="s">
        <v>2466</v>
      </c>
      <c r="L164" s="1">
        <v>0.5</v>
      </c>
      <c r="M164" s="1" t="s">
        <v>2366</v>
      </c>
      <c r="N164" s="1" t="s">
        <v>2468</v>
      </c>
      <c r="O164" s="1" t="s">
        <v>68</v>
      </c>
      <c r="P164" s="1">
        <v>1041.0</v>
      </c>
      <c r="Q164" s="1" t="s">
        <v>2366</v>
      </c>
      <c r="R164" s="1" t="s">
        <v>2466</v>
      </c>
      <c r="S164" s="1" t="s">
        <v>1033</v>
      </c>
      <c r="T164" s="1" t="s">
        <v>2470</v>
      </c>
      <c r="U164" s="1" t="s">
        <v>71</v>
      </c>
      <c r="V164" s="1" t="s">
        <v>72</v>
      </c>
      <c r="W164" s="1" t="s">
        <v>31</v>
      </c>
      <c r="X164" s="1" t="s">
        <v>2366</v>
      </c>
      <c r="Y164" s="1" t="s">
        <v>2470</v>
      </c>
      <c r="Z164" s="1" t="s">
        <v>51</v>
      </c>
      <c r="AA164" s="1" t="s">
        <v>31</v>
      </c>
      <c r="AB164" s="1" t="s">
        <v>31</v>
      </c>
      <c r="AC164" s="1" t="s">
        <v>74</v>
      </c>
      <c r="AD164" s="1" t="s">
        <v>31</v>
      </c>
      <c r="AE164" s="5"/>
    </row>
    <row r="165" ht="14.25" customHeight="1">
      <c r="A165" s="1" t="s">
        <v>33</v>
      </c>
      <c r="B165" s="1">
        <v>1.1000388E7</v>
      </c>
      <c r="C165" s="1" t="str">
        <f>VLOOKUP(B165,Equipment!A$1:J$575,9,0)</f>
        <v>#N/A</v>
      </c>
      <c r="D165" s="1" t="s">
        <v>2480</v>
      </c>
      <c r="E165" s="1" t="s">
        <v>2481</v>
      </c>
      <c r="F165" s="1" t="s">
        <v>269</v>
      </c>
      <c r="G165" s="1" t="s">
        <v>2482</v>
      </c>
      <c r="H165" s="1" t="s">
        <v>2366</v>
      </c>
      <c r="I165" s="1" t="s">
        <v>2366</v>
      </c>
      <c r="J165" s="1" t="s">
        <v>500</v>
      </c>
      <c r="K165" s="1" t="s">
        <v>2485</v>
      </c>
      <c r="L165" s="1">
        <v>0.83</v>
      </c>
      <c r="M165" s="1" t="s">
        <v>2366</v>
      </c>
      <c r="N165" s="1" t="s">
        <v>2487</v>
      </c>
      <c r="O165" s="1" t="s">
        <v>68</v>
      </c>
      <c r="P165" s="1">
        <v>1041.0</v>
      </c>
      <c r="Q165" s="1" t="s">
        <v>2366</v>
      </c>
      <c r="R165" s="1" t="s">
        <v>2485</v>
      </c>
      <c r="S165" s="1" t="s">
        <v>31</v>
      </c>
      <c r="T165" s="1" t="s">
        <v>73</v>
      </c>
      <c r="U165" s="1" t="s">
        <v>71</v>
      </c>
      <c r="V165" s="1" t="s">
        <v>72</v>
      </c>
      <c r="W165" s="1" t="s">
        <v>31</v>
      </c>
      <c r="X165" s="1" t="s">
        <v>2366</v>
      </c>
      <c r="Y165" s="1" t="s">
        <v>2488</v>
      </c>
      <c r="Z165" s="1" t="s">
        <v>51</v>
      </c>
      <c r="AA165" s="1" t="s">
        <v>31</v>
      </c>
      <c r="AB165" s="1" t="s">
        <v>31</v>
      </c>
      <c r="AC165" s="1" t="s">
        <v>74</v>
      </c>
      <c r="AD165" s="1" t="s">
        <v>31</v>
      </c>
      <c r="AE165" s="5"/>
    </row>
    <row r="166" ht="14.25" customHeight="1">
      <c r="A166" s="1" t="s">
        <v>33</v>
      </c>
      <c r="B166" s="1">
        <v>1.1000389E7</v>
      </c>
      <c r="C166" s="1" t="str">
        <f>VLOOKUP(B166,Equipment!A$1:J$575,9,0)</f>
        <v>E</v>
      </c>
      <c r="D166" s="1" t="s">
        <v>2499</v>
      </c>
      <c r="E166" s="1" t="s">
        <v>2500</v>
      </c>
      <c r="F166" s="1" t="s">
        <v>60</v>
      </c>
      <c r="G166" s="1" t="s">
        <v>1987</v>
      </c>
      <c r="H166" s="1" t="s">
        <v>2366</v>
      </c>
      <c r="I166" s="1" t="s">
        <v>1030</v>
      </c>
      <c r="J166" s="1" t="s">
        <v>2501</v>
      </c>
      <c r="K166" s="1" t="s">
        <v>2502</v>
      </c>
      <c r="L166" s="1">
        <v>0.35</v>
      </c>
      <c r="M166" s="1" t="s">
        <v>2366</v>
      </c>
      <c r="N166" s="1" t="s">
        <v>2504</v>
      </c>
      <c r="O166" s="1" t="s">
        <v>68</v>
      </c>
      <c r="P166" s="1">
        <v>1041.0</v>
      </c>
      <c r="Q166" s="1" t="s">
        <v>1030</v>
      </c>
      <c r="R166" s="1" t="s">
        <v>2502</v>
      </c>
      <c r="S166" s="1" t="s">
        <v>1490</v>
      </c>
      <c r="T166" s="1" t="s">
        <v>2508</v>
      </c>
      <c r="U166" s="1" t="s">
        <v>71</v>
      </c>
      <c r="V166" s="1" t="s">
        <v>72</v>
      </c>
      <c r="W166" s="1" t="s">
        <v>31</v>
      </c>
      <c r="X166" s="1" t="s">
        <v>2366</v>
      </c>
      <c r="Y166" s="1" t="s">
        <v>2508</v>
      </c>
      <c r="Z166" s="1" t="s">
        <v>51</v>
      </c>
      <c r="AA166" s="1" t="s">
        <v>31</v>
      </c>
      <c r="AB166" s="1" t="s">
        <v>31</v>
      </c>
      <c r="AC166" s="1" t="s">
        <v>74</v>
      </c>
      <c r="AD166" s="1" t="s">
        <v>31</v>
      </c>
      <c r="AE166" s="5"/>
    </row>
    <row r="167" ht="14.25" customHeight="1">
      <c r="A167" s="1" t="s">
        <v>33</v>
      </c>
      <c r="B167" s="1">
        <v>1.1000439E7</v>
      </c>
      <c r="C167" s="1" t="str">
        <f>VLOOKUP(B167,Equipment!A$1:J$575,9,0)</f>
        <v>E</v>
      </c>
      <c r="D167" s="1" t="s">
        <v>31</v>
      </c>
      <c r="E167" s="1" t="s">
        <v>2517</v>
      </c>
      <c r="F167" s="1" t="s">
        <v>894</v>
      </c>
      <c r="G167" s="1" t="s">
        <v>2519</v>
      </c>
      <c r="H167" s="1" t="s">
        <v>2366</v>
      </c>
      <c r="I167" s="1" t="s">
        <v>31</v>
      </c>
      <c r="J167" s="1" t="s">
        <v>2521</v>
      </c>
      <c r="K167" s="1" t="s">
        <v>73</v>
      </c>
      <c r="L167" s="1">
        <v>0.0</v>
      </c>
      <c r="M167" s="1" t="s">
        <v>2366</v>
      </c>
      <c r="N167" s="1" t="s">
        <v>2522</v>
      </c>
      <c r="O167" s="1" t="s">
        <v>68</v>
      </c>
      <c r="P167" s="1">
        <v>1041.0</v>
      </c>
      <c r="Q167" s="1" t="s">
        <v>2366</v>
      </c>
      <c r="R167" s="1" t="s">
        <v>2523</v>
      </c>
      <c r="S167" s="1" t="s">
        <v>1490</v>
      </c>
      <c r="T167" s="1" t="s">
        <v>2525</v>
      </c>
      <c r="U167" s="1" t="s">
        <v>71</v>
      </c>
      <c r="V167" s="1" t="s">
        <v>72</v>
      </c>
      <c r="W167" s="1" t="s">
        <v>31</v>
      </c>
      <c r="X167" s="1" t="s">
        <v>2366</v>
      </c>
      <c r="Y167" s="1" t="s">
        <v>2525</v>
      </c>
      <c r="Z167" s="1" t="s">
        <v>51</v>
      </c>
      <c r="AA167" s="1" t="s">
        <v>31</v>
      </c>
      <c r="AB167" s="1" t="s">
        <v>31</v>
      </c>
      <c r="AC167" s="1" t="s">
        <v>74</v>
      </c>
      <c r="AD167" s="1" t="s">
        <v>31</v>
      </c>
      <c r="AE167" s="5"/>
    </row>
    <row r="168" ht="14.25" customHeight="1">
      <c r="A168" s="1" t="s">
        <v>33</v>
      </c>
      <c r="B168" s="1">
        <v>1.1000452E7</v>
      </c>
      <c r="C168" s="1" t="str">
        <f>VLOOKUP(B168,Equipment!A$1:J$575,9,0)</f>
        <v>E</v>
      </c>
      <c r="D168" s="1" t="s">
        <v>2533</v>
      </c>
      <c r="E168" s="1" t="s">
        <v>2534</v>
      </c>
      <c r="F168" s="1" t="s">
        <v>180</v>
      </c>
      <c r="G168" s="1" t="s">
        <v>2535</v>
      </c>
      <c r="H168" s="1" t="s">
        <v>2366</v>
      </c>
      <c r="I168" s="1" t="s">
        <v>2366</v>
      </c>
      <c r="J168" s="1" t="s">
        <v>348</v>
      </c>
      <c r="K168" s="1" t="s">
        <v>2539</v>
      </c>
      <c r="L168" s="1">
        <v>1.5</v>
      </c>
      <c r="M168" s="1" t="s">
        <v>2366</v>
      </c>
      <c r="N168" s="1" t="s">
        <v>2541</v>
      </c>
      <c r="O168" s="1" t="s">
        <v>68</v>
      </c>
      <c r="P168" s="1">
        <v>1041.0</v>
      </c>
      <c r="Q168" s="1" t="s">
        <v>2366</v>
      </c>
      <c r="R168" s="1" t="s">
        <v>2539</v>
      </c>
      <c r="S168" s="1" t="s">
        <v>1033</v>
      </c>
      <c r="T168" s="1" t="s">
        <v>2542</v>
      </c>
      <c r="U168" s="1" t="s">
        <v>71</v>
      </c>
      <c r="V168" s="1" t="s">
        <v>72</v>
      </c>
      <c r="W168" s="1" t="s">
        <v>31</v>
      </c>
      <c r="X168" s="1" t="s">
        <v>31</v>
      </c>
      <c r="Y168" s="1" t="s">
        <v>73</v>
      </c>
      <c r="Z168" s="1" t="s">
        <v>51</v>
      </c>
      <c r="AA168" s="1" t="s">
        <v>31</v>
      </c>
      <c r="AB168" s="1" t="s">
        <v>31</v>
      </c>
      <c r="AC168" s="1" t="s">
        <v>74</v>
      </c>
      <c r="AD168" s="1" t="s">
        <v>31</v>
      </c>
      <c r="AE168" s="5"/>
    </row>
    <row r="169" ht="14.25" customHeight="1">
      <c r="A169" s="1" t="s">
        <v>33</v>
      </c>
      <c r="B169" s="1">
        <v>1.1000453E7</v>
      </c>
      <c r="C169" s="1" t="str">
        <f>VLOOKUP(B169,Equipment!A$1:J$575,9,0)</f>
        <v>E</v>
      </c>
      <c r="D169" s="1" t="s">
        <v>2550</v>
      </c>
      <c r="E169" s="1" t="s">
        <v>2552</v>
      </c>
      <c r="F169" s="1" t="s">
        <v>283</v>
      </c>
      <c r="G169" s="1" t="s">
        <v>2553</v>
      </c>
      <c r="H169" s="1" t="s">
        <v>2366</v>
      </c>
      <c r="I169" s="1" t="s">
        <v>2366</v>
      </c>
      <c r="J169" s="1" t="s">
        <v>2555</v>
      </c>
      <c r="K169" s="1" t="s">
        <v>2557</v>
      </c>
      <c r="L169" s="1">
        <v>0.5</v>
      </c>
      <c r="M169" s="1" t="s">
        <v>2366</v>
      </c>
      <c r="N169" s="1" t="s">
        <v>2555</v>
      </c>
      <c r="O169" s="1" t="s">
        <v>68</v>
      </c>
      <c r="P169" s="1">
        <v>1041.0</v>
      </c>
      <c r="Q169" s="1" t="s">
        <v>2366</v>
      </c>
      <c r="R169" s="1" t="s">
        <v>2557</v>
      </c>
      <c r="S169" s="1" t="s">
        <v>1033</v>
      </c>
      <c r="T169" s="1" t="s">
        <v>2562</v>
      </c>
      <c r="U169" s="1" t="s">
        <v>71</v>
      </c>
      <c r="V169" s="1" t="s">
        <v>72</v>
      </c>
      <c r="W169" s="1" t="s">
        <v>31</v>
      </c>
      <c r="X169" s="1" t="s">
        <v>31</v>
      </c>
      <c r="Y169" s="1" t="s">
        <v>73</v>
      </c>
      <c r="Z169" s="1" t="s">
        <v>51</v>
      </c>
      <c r="AA169" s="1" t="s">
        <v>31</v>
      </c>
      <c r="AB169" s="1" t="s">
        <v>31</v>
      </c>
      <c r="AC169" s="1" t="s">
        <v>74</v>
      </c>
      <c r="AD169" s="1" t="s">
        <v>31</v>
      </c>
      <c r="AE169" s="5"/>
    </row>
    <row r="170" ht="14.25" customHeight="1">
      <c r="A170" s="1" t="s">
        <v>33</v>
      </c>
      <c r="B170" s="1">
        <v>1.1000486E7</v>
      </c>
      <c r="C170" s="1" t="str">
        <f>VLOOKUP(B170,Equipment!A$1:J$575,9,0)</f>
        <v>E</v>
      </c>
      <c r="D170" s="1" t="s">
        <v>2570</v>
      </c>
      <c r="E170" s="1" t="s">
        <v>2571</v>
      </c>
      <c r="F170" s="1" t="s">
        <v>1036</v>
      </c>
      <c r="G170" s="1" t="s">
        <v>2572</v>
      </c>
      <c r="H170" s="1" t="s">
        <v>2366</v>
      </c>
      <c r="I170" s="1" t="s">
        <v>1030</v>
      </c>
      <c r="J170" s="1" t="s">
        <v>2574</v>
      </c>
      <c r="K170" s="1" t="s">
        <v>2575</v>
      </c>
      <c r="L170" s="1">
        <v>0.58</v>
      </c>
      <c r="M170" s="1" t="s">
        <v>2366</v>
      </c>
      <c r="N170" s="1" t="s">
        <v>2574</v>
      </c>
      <c r="O170" s="1" t="s">
        <v>68</v>
      </c>
      <c r="P170" s="1">
        <v>1041.0</v>
      </c>
      <c r="Q170" s="1" t="s">
        <v>1030</v>
      </c>
      <c r="R170" s="1" t="s">
        <v>2575</v>
      </c>
      <c r="S170" s="1" t="s">
        <v>1033</v>
      </c>
      <c r="T170" s="1" t="s">
        <v>2580</v>
      </c>
      <c r="U170" s="1" t="s">
        <v>71</v>
      </c>
      <c r="V170" s="1" t="s">
        <v>72</v>
      </c>
      <c r="W170" s="1" t="s">
        <v>31</v>
      </c>
      <c r="X170" s="1" t="s">
        <v>31</v>
      </c>
      <c r="Y170" s="1" t="s">
        <v>73</v>
      </c>
      <c r="Z170" s="1" t="s">
        <v>51</v>
      </c>
      <c r="AA170" s="1" t="s">
        <v>31</v>
      </c>
      <c r="AB170" s="1" t="s">
        <v>31</v>
      </c>
      <c r="AC170" s="1" t="s">
        <v>74</v>
      </c>
      <c r="AD170" s="1" t="s">
        <v>31</v>
      </c>
      <c r="AE170" s="5"/>
    </row>
    <row r="171" ht="14.25" customHeight="1">
      <c r="A171" s="1" t="s">
        <v>33</v>
      </c>
      <c r="B171" s="1">
        <v>1.1000511E7</v>
      </c>
      <c r="C171" s="1" t="str">
        <f>VLOOKUP(B171,Equipment!A$1:J$575,9,0)</f>
        <v>E</v>
      </c>
      <c r="D171" s="1" t="s">
        <v>2592</v>
      </c>
      <c r="E171" s="1" t="s">
        <v>2593</v>
      </c>
      <c r="F171" s="1" t="s">
        <v>1095</v>
      </c>
      <c r="G171" s="1" t="s">
        <v>2595</v>
      </c>
      <c r="H171" s="1" t="s">
        <v>2366</v>
      </c>
      <c r="I171" s="1" t="s">
        <v>2366</v>
      </c>
      <c r="J171" s="1" t="s">
        <v>2596</v>
      </c>
      <c r="K171" s="1" t="s">
        <v>2597</v>
      </c>
      <c r="L171" s="1">
        <v>0.67</v>
      </c>
      <c r="M171" s="1" t="s">
        <v>2366</v>
      </c>
      <c r="N171" s="1" t="s">
        <v>2598</v>
      </c>
      <c r="O171" s="1" t="s">
        <v>121</v>
      </c>
      <c r="P171" s="1">
        <v>1041.0</v>
      </c>
      <c r="Q171" s="1" t="s">
        <v>2366</v>
      </c>
      <c r="R171" s="1" t="s">
        <v>2597</v>
      </c>
      <c r="S171" s="1" t="s">
        <v>1033</v>
      </c>
      <c r="T171" s="1" t="s">
        <v>2602</v>
      </c>
      <c r="U171" s="1" t="s">
        <v>71</v>
      </c>
      <c r="V171" s="1" t="s">
        <v>72</v>
      </c>
      <c r="W171" s="1" t="s">
        <v>31</v>
      </c>
      <c r="X171" s="1" t="s">
        <v>31</v>
      </c>
      <c r="Y171" s="1" t="s">
        <v>73</v>
      </c>
      <c r="Z171" s="1" t="s">
        <v>51</v>
      </c>
      <c r="AA171" s="1" t="s">
        <v>31</v>
      </c>
      <c r="AB171" s="1" t="s">
        <v>31</v>
      </c>
      <c r="AC171" s="1" t="s">
        <v>656</v>
      </c>
      <c r="AD171" s="1" t="s">
        <v>31</v>
      </c>
      <c r="AE171" s="5"/>
    </row>
    <row r="172" ht="14.25" customHeight="1">
      <c r="A172" s="1" t="s">
        <v>33</v>
      </c>
      <c r="B172" s="1">
        <v>1.1000208E7</v>
      </c>
      <c r="C172" s="1" t="str">
        <f>VLOOKUP(B172,Equipment!A$1:J$575,9,0)</f>
        <v>E</v>
      </c>
      <c r="D172" s="1" t="s">
        <v>2609</v>
      </c>
      <c r="E172" s="1" t="s">
        <v>2611</v>
      </c>
      <c r="F172" s="1" t="s">
        <v>316</v>
      </c>
      <c r="G172" s="1" t="s">
        <v>2612</v>
      </c>
      <c r="H172" s="1" t="s">
        <v>2366</v>
      </c>
      <c r="I172" s="1" t="s">
        <v>2366</v>
      </c>
      <c r="J172" s="1" t="s">
        <v>2615</v>
      </c>
      <c r="K172" s="1" t="s">
        <v>2616</v>
      </c>
      <c r="L172" s="1">
        <v>3.0</v>
      </c>
      <c r="M172" s="1" t="s">
        <v>2366</v>
      </c>
      <c r="N172" s="1" t="s">
        <v>2615</v>
      </c>
      <c r="O172" s="1" t="s">
        <v>131</v>
      </c>
      <c r="P172" s="1">
        <v>2001.0</v>
      </c>
      <c r="Q172" s="1" t="s">
        <v>2366</v>
      </c>
      <c r="R172" s="1" t="s">
        <v>2616</v>
      </c>
      <c r="S172" s="1" t="s">
        <v>2366</v>
      </c>
      <c r="T172" s="1" t="s">
        <v>2620</v>
      </c>
      <c r="U172" s="1" t="s">
        <v>71</v>
      </c>
      <c r="V172" s="1" t="s">
        <v>72</v>
      </c>
      <c r="W172" s="1" t="s">
        <v>31</v>
      </c>
      <c r="X172" s="1" t="s">
        <v>2366</v>
      </c>
      <c r="Y172" s="1" t="s">
        <v>2615</v>
      </c>
      <c r="Z172" s="1" t="s">
        <v>51</v>
      </c>
      <c r="AA172" s="1" t="s">
        <v>31</v>
      </c>
      <c r="AB172" s="1" t="s">
        <v>31</v>
      </c>
      <c r="AC172" s="1" t="s">
        <v>137</v>
      </c>
      <c r="AD172" s="1" t="s">
        <v>31</v>
      </c>
      <c r="AE172" s="5"/>
    </row>
    <row r="173" ht="14.25" customHeight="1">
      <c r="A173" s="1" t="s">
        <v>33</v>
      </c>
      <c r="B173" s="1">
        <v>1.1000255E7</v>
      </c>
      <c r="C173" s="1" t="str">
        <f>VLOOKUP(B173,Equipment!A$1:J$575,9,0)</f>
        <v>E</v>
      </c>
      <c r="D173" s="1" t="s">
        <v>2629</v>
      </c>
      <c r="E173" s="1" t="s">
        <v>2631</v>
      </c>
      <c r="F173" s="1" t="s">
        <v>517</v>
      </c>
      <c r="G173" s="1" t="s">
        <v>2632</v>
      </c>
      <c r="H173" s="1" t="s">
        <v>2366</v>
      </c>
      <c r="I173" s="1" t="s">
        <v>2366</v>
      </c>
      <c r="J173" s="1" t="s">
        <v>1026</v>
      </c>
      <c r="K173" s="1" t="s">
        <v>2634</v>
      </c>
      <c r="L173" s="1">
        <v>0.75</v>
      </c>
      <c r="M173" s="1" t="s">
        <v>2366</v>
      </c>
      <c r="N173" s="1" t="s">
        <v>1026</v>
      </c>
      <c r="O173" s="1" t="s">
        <v>131</v>
      </c>
      <c r="P173" s="1">
        <v>2001.0</v>
      </c>
      <c r="Q173" s="1" t="s">
        <v>2366</v>
      </c>
      <c r="R173" s="1" t="s">
        <v>2634</v>
      </c>
      <c r="S173" s="1" t="s">
        <v>2366</v>
      </c>
      <c r="T173" s="1" t="s">
        <v>2634</v>
      </c>
      <c r="U173" s="1" t="s">
        <v>71</v>
      </c>
      <c r="V173" s="1" t="s">
        <v>72</v>
      </c>
      <c r="W173" s="1" t="s">
        <v>31</v>
      </c>
      <c r="X173" s="1" t="s">
        <v>2366</v>
      </c>
      <c r="Y173" s="1" t="s">
        <v>1026</v>
      </c>
      <c r="Z173" s="1" t="s">
        <v>51</v>
      </c>
      <c r="AA173" s="1" t="s">
        <v>31</v>
      </c>
      <c r="AB173" s="1" t="s">
        <v>31</v>
      </c>
      <c r="AC173" s="1" t="s">
        <v>137</v>
      </c>
      <c r="AD173" s="1" t="s">
        <v>31</v>
      </c>
      <c r="AE173" s="5"/>
    </row>
    <row r="174" ht="14.25" customHeight="1">
      <c r="A174" s="1" t="s">
        <v>33</v>
      </c>
      <c r="B174" s="1">
        <v>1.1000292E7</v>
      </c>
      <c r="C174" s="1" t="str">
        <f>VLOOKUP(B174,Equipment!A$1:J$575,9,0)</f>
        <v>E</v>
      </c>
      <c r="D174" s="1" t="s">
        <v>2644</v>
      </c>
      <c r="E174" s="1" t="s">
        <v>2645</v>
      </c>
      <c r="F174" s="1" t="s">
        <v>589</v>
      </c>
      <c r="G174" s="1" t="s">
        <v>2647</v>
      </c>
      <c r="H174" s="1" t="s">
        <v>2366</v>
      </c>
      <c r="I174" s="1" t="s">
        <v>2366</v>
      </c>
      <c r="J174" s="1" t="s">
        <v>318</v>
      </c>
      <c r="K174" s="1" t="s">
        <v>2651</v>
      </c>
      <c r="L174" s="1">
        <v>0.76</v>
      </c>
      <c r="M174" s="1" t="s">
        <v>2366</v>
      </c>
      <c r="N174" s="1" t="s">
        <v>318</v>
      </c>
      <c r="O174" s="1" t="s">
        <v>491</v>
      </c>
      <c r="P174" s="1">
        <v>2001.0</v>
      </c>
      <c r="Q174" s="1" t="s">
        <v>2366</v>
      </c>
      <c r="R174" s="1" t="s">
        <v>2653</v>
      </c>
      <c r="S174" s="1" t="s">
        <v>2366</v>
      </c>
      <c r="T174" s="1" t="s">
        <v>2654</v>
      </c>
      <c r="U174" s="1" t="s">
        <v>71</v>
      </c>
      <c r="V174" s="1" t="s">
        <v>72</v>
      </c>
      <c r="W174" s="1" t="s">
        <v>31</v>
      </c>
      <c r="X174" s="1" t="s">
        <v>2366</v>
      </c>
      <c r="Y174" s="1" t="s">
        <v>2655</v>
      </c>
      <c r="Z174" s="1" t="s">
        <v>51</v>
      </c>
      <c r="AA174" s="1" t="s">
        <v>31</v>
      </c>
      <c r="AB174" s="1" t="s">
        <v>31</v>
      </c>
      <c r="AC174" s="1" t="s">
        <v>496</v>
      </c>
      <c r="AD174" s="1" t="s">
        <v>31</v>
      </c>
      <c r="AE174" s="5"/>
    </row>
    <row r="175" ht="14.25" customHeight="1">
      <c r="A175" s="1" t="s">
        <v>33</v>
      </c>
      <c r="B175" s="1">
        <v>1.1000327E7</v>
      </c>
      <c r="C175" s="1" t="str">
        <f>VLOOKUP(B175,Equipment!A$1:J$575,9,0)</f>
        <v>E</v>
      </c>
      <c r="D175" s="1" t="s">
        <v>2664</v>
      </c>
      <c r="E175" s="1" t="s">
        <v>2665</v>
      </c>
      <c r="F175" s="1" t="s">
        <v>533</v>
      </c>
      <c r="G175" s="1" t="s">
        <v>2666</v>
      </c>
      <c r="H175" s="1" t="s">
        <v>2366</v>
      </c>
      <c r="I175" s="1" t="s">
        <v>2366</v>
      </c>
      <c r="J175" s="1" t="s">
        <v>2667</v>
      </c>
      <c r="K175" s="1" t="s">
        <v>2668</v>
      </c>
      <c r="L175" s="1">
        <v>1.01</v>
      </c>
      <c r="M175" s="1" t="s">
        <v>2366</v>
      </c>
      <c r="N175" s="1" t="s">
        <v>2667</v>
      </c>
      <c r="O175" s="1" t="s">
        <v>131</v>
      </c>
      <c r="P175" s="1">
        <v>2001.0</v>
      </c>
      <c r="Q175" s="1" t="s">
        <v>2366</v>
      </c>
      <c r="R175" s="1" t="s">
        <v>2674</v>
      </c>
      <c r="S175" s="1" t="s">
        <v>2366</v>
      </c>
      <c r="T175" s="1" t="s">
        <v>2675</v>
      </c>
      <c r="U175" s="1" t="s">
        <v>71</v>
      </c>
      <c r="V175" s="1" t="s">
        <v>72</v>
      </c>
      <c r="W175" s="1" t="s">
        <v>31</v>
      </c>
      <c r="X175" s="1" t="s">
        <v>2366</v>
      </c>
      <c r="Y175" s="1" t="s">
        <v>2667</v>
      </c>
      <c r="Z175" s="1" t="s">
        <v>51</v>
      </c>
      <c r="AA175" s="1" t="s">
        <v>31</v>
      </c>
      <c r="AB175" s="1" t="s">
        <v>31</v>
      </c>
      <c r="AC175" s="1" t="s">
        <v>538</v>
      </c>
      <c r="AD175" s="1" t="s">
        <v>31</v>
      </c>
      <c r="AE175" s="5"/>
    </row>
    <row r="176" ht="14.25" customHeight="1">
      <c r="A176" s="1" t="s">
        <v>33</v>
      </c>
      <c r="B176" s="1">
        <v>1.100038E7</v>
      </c>
      <c r="C176" s="1" t="str">
        <f>VLOOKUP(B176,Equipment!A$1:J$575,9,0)</f>
        <v>E</v>
      </c>
      <c r="D176" s="1" t="s">
        <v>2681</v>
      </c>
      <c r="E176" s="1" t="s">
        <v>2683</v>
      </c>
      <c r="F176" s="1" t="s">
        <v>545</v>
      </c>
      <c r="G176" s="1" t="s">
        <v>2684</v>
      </c>
      <c r="H176" s="1" t="s">
        <v>2685</v>
      </c>
      <c r="I176" s="1" t="s">
        <v>2172</v>
      </c>
      <c r="J176" s="1" t="s">
        <v>2686</v>
      </c>
      <c r="K176" s="1" t="s">
        <v>2687</v>
      </c>
      <c r="L176" s="1">
        <v>0.93</v>
      </c>
      <c r="M176" s="1" t="s">
        <v>2685</v>
      </c>
      <c r="N176" s="1" t="s">
        <v>2686</v>
      </c>
      <c r="O176" s="1" t="s">
        <v>68</v>
      </c>
      <c r="P176" s="1">
        <v>1041.0</v>
      </c>
      <c r="Q176" s="1" t="s">
        <v>2172</v>
      </c>
      <c r="R176" s="1" t="s">
        <v>2687</v>
      </c>
      <c r="S176" s="1" t="s">
        <v>1676</v>
      </c>
      <c r="T176" s="1" t="s">
        <v>2688</v>
      </c>
      <c r="U176" s="1" t="s">
        <v>71</v>
      </c>
      <c r="V176" s="1" t="s">
        <v>72</v>
      </c>
      <c r="W176" s="1" t="s">
        <v>31</v>
      </c>
      <c r="X176" s="1" t="s">
        <v>31</v>
      </c>
      <c r="Y176" s="1" t="s">
        <v>73</v>
      </c>
      <c r="Z176" s="1" t="s">
        <v>51</v>
      </c>
      <c r="AA176" s="1" t="s">
        <v>31</v>
      </c>
      <c r="AB176" s="1" t="s">
        <v>31</v>
      </c>
      <c r="AC176" s="1" t="s">
        <v>74</v>
      </c>
      <c r="AD176" s="1" t="s">
        <v>31</v>
      </c>
      <c r="AE176" s="5"/>
    </row>
    <row r="177" ht="14.25" customHeight="1">
      <c r="A177" s="1" t="s">
        <v>33</v>
      </c>
      <c r="B177" s="1">
        <v>1.1000389E7</v>
      </c>
      <c r="C177" s="1" t="str">
        <f>VLOOKUP(B177,Equipment!A$1:J$575,9,0)</f>
        <v>E</v>
      </c>
      <c r="D177" s="1" t="s">
        <v>2697</v>
      </c>
      <c r="E177" s="1" t="s">
        <v>2698</v>
      </c>
      <c r="F177" s="1" t="s">
        <v>60</v>
      </c>
      <c r="G177" s="1" t="s">
        <v>2699</v>
      </c>
      <c r="H177" s="1" t="s">
        <v>2685</v>
      </c>
      <c r="I177" s="1" t="s">
        <v>2685</v>
      </c>
      <c r="J177" s="1" t="s">
        <v>2700</v>
      </c>
      <c r="K177" s="1" t="s">
        <v>2701</v>
      </c>
      <c r="L177" s="1">
        <v>0.25</v>
      </c>
      <c r="M177" s="1" t="s">
        <v>2685</v>
      </c>
      <c r="N177" s="1" t="s">
        <v>2703</v>
      </c>
      <c r="O177" s="1" t="s">
        <v>68</v>
      </c>
      <c r="P177" s="1">
        <v>1041.0</v>
      </c>
      <c r="Q177" s="1" t="s">
        <v>2685</v>
      </c>
      <c r="R177" s="1" t="s">
        <v>2701</v>
      </c>
      <c r="S177" s="1" t="s">
        <v>1676</v>
      </c>
      <c r="T177" s="1" t="s">
        <v>2707</v>
      </c>
      <c r="U177" s="1" t="s">
        <v>71</v>
      </c>
      <c r="V177" s="1" t="s">
        <v>72</v>
      </c>
      <c r="W177" s="1" t="s">
        <v>31</v>
      </c>
      <c r="X177" s="1" t="s">
        <v>2685</v>
      </c>
      <c r="Y177" s="1" t="s">
        <v>2707</v>
      </c>
      <c r="Z177" s="1" t="s">
        <v>51</v>
      </c>
      <c r="AA177" s="1" t="s">
        <v>31</v>
      </c>
      <c r="AB177" s="1" t="s">
        <v>31</v>
      </c>
      <c r="AC177" s="1" t="s">
        <v>74</v>
      </c>
      <c r="AD177" s="1" t="s">
        <v>31</v>
      </c>
      <c r="AE177" s="5"/>
    </row>
    <row r="178" ht="14.25" customHeight="1">
      <c r="A178" s="1" t="s">
        <v>33</v>
      </c>
      <c r="B178" s="1">
        <v>1.1000439E7</v>
      </c>
      <c r="C178" s="1" t="str">
        <f>VLOOKUP(B178,Equipment!A$1:J$575,9,0)</f>
        <v>E</v>
      </c>
      <c r="D178" s="1" t="s">
        <v>2713</v>
      </c>
      <c r="E178" s="1" t="s">
        <v>2714</v>
      </c>
      <c r="F178" s="1" t="s">
        <v>894</v>
      </c>
      <c r="G178" s="1" t="s">
        <v>2715</v>
      </c>
      <c r="H178" s="1" t="s">
        <v>2685</v>
      </c>
      <c r="I178" s="1" t="s">
        <v>2685</v>
      </c>
      <c r="J178" s="1" t="s">
        <v>898</v>
      </c>
      <c r="K178" s="1" t="s">
        <v>2718</v>
      </c>
      <c r="L178" s="1">
        <v>3.0</v>
      </c>
      <c r="M178" s="1" t="s">
        <v>2685</v>
      </c>
      <c r="N178" s="1" t="s">
        <v>2719</v>
      </c>
      <c r="O178" s="1" t="s">
        <v>68</v>
      </c>
      <c r="P178" s="1">
        <v>1041.0</v>
      </c>
      <c r="Q178" s="1" t="s">
        <v>2685</v>
      </c>
      <c r="R178" s="1" t="s">
        <v>2718</v>
      </c>
      <c r="S178" s="1" t="s">
        <v>1676</v>
      </c>
      <c r="T178" s="1" t="s">
        <v>2720</v>
      </c>
      <c r="U178" s="1" t="s">
        <v>71</v>
      </c>
      <c r="V178" s="1" t="s">
        <v>72</v>
      </c>
      <c r="W178" s="1" t="s">
        <v>31</v>
      </c>
      <c r="X178" s="1" t="s">
        <v>2685</v>
      </c>
      <c r="Y178" s="1" t="s">
        <v>2721</v>
      </c>
      <c r="Z178" s="1" t="s">
        <v>51</v>
      </c>
      <c r="AA178" s="1" t="s">
        <v>31</v>
      </c>
      <c r="AB178" s="1" t="s">
        <v>31</v>
      </c>
      <c r="AC178" s="1" t="s">
        <v>74</v>
      </c>
      <c r="AD178" s="1" t="s">
        <v>31</v>
      </c>
      <c r="AE178" s="5"/>
    </row>
    <row r="179" ht="14.25" customHeight="1">
      <c r="A179" s="1" t="s">
        <v>33</v>
      </c>
      <c r="B179" s="1">
        <v>1.1000449E7</v>
      </c>
      <c r="C179" s="1" t="str">
        <f>VLOOKUP(B179,Equipment!A$1:J$575,9,0)</f>
        <v>E</v>
      </c>
      <c r="D179" s="1" t="s">
        <v>2724</v>
      </c>
      <c r="E179" s="1" t="s">
        <v>2725</v>
      </c>
      <c r="F179" s="1" t="s">
        <v>160</v>
      </c>
      <c r="G179" s="1" t="s">
        <v>2726</v>
      </c>
      <c r="H179" s="1" t="s">
        <v>2685</v>
      </c>
      <c r="I179" s="1" t="s">
        <v>2685</v>
      </c>
      <c r="J179" s="1" t="s">
        <v>2727</v>
      </c>
      <c r="K179" s="1" t="s">
        <v>2729</v>
      </c>
      <c r="L179" s="1">
        <v>1.0</v>
      </c>
      <c r="M179" s="1" t="s">
        <v>2685</v>
      </c>
      <c r="N179" s="1" t="s">
        <v>2731</v>
      </c>
      <c r="O179" s="1" t="s">
        <v>68</v>
      </c>
      <c r="P179" s="1">
        <v>1041.0</v>
      </c>
      <c r="Q179" s="1" t="s">
        <v>2685</v>
      </c>
      <c r="R179" s="1" t="s">
        <v>2729</v>
      </c>
      <c r="S179" s="1" t="s">
        <v>2366</v>
      </c>
      <c r="T179" s="1" t="s">
        <v>2732</v>
      </c>
      <c r="U179" s="1" t="s">
        <v>71</v>
      </c>
      <c r="V179" s="1" t="s">
        <v>72</v>
      </c>
      <c r="W179" s="1" t="s">
        <v>31</v>
      </c>
      <c r="X179" s="1" t="s">
        <v>31</v>
      </c>
      <c r="Y179" s="1" t="s">
        <v>73</v>
      </c>
      <c r="Z179" s="1" t="s">
        <v>51</v>
      </c>
      <c r="AA179" s="1" t="s">
        <v>31</v>
      </c>
      <c r="AB179" s="1" t="s">
        <v>31</v>
      </c>
      <c r="AC179" s="1" t="s">
        <v>74</v>
      </c>
      <c r="AD179" s="1" t="s">
        <v>31</v>
      </c>
      <c r="AE179" s="5"/>
    </row>
    <row r="180" ht="14.25" customHeight="1">
      <c r="A180" s="1" t="s">
        <v>33</v>
      </c>
      <c r="B180" s="1">
        <v>1.1000452E7</v>
      </c>
      <c r="C180" s="1" t="str">
        <f>VLOOKUP(B180,Equipment!A$1:J$575,9,0)</f>
        <v>E</v>
      </c>
      <c r="D180" s="1" t="s">
        <v>2739</v>
      </c>
      <c r="E180" s="1" t="s">
        <v>2741</v>
      </c>
      <c r="F180" s="1" t="s">
        <v>180</v>
      </c>
      <c r="G180" s="1" t="s">
        <v>2742</v>
      </c>
      <c r="H180" s="1" t="s">
        <v>2685</v>
      </c>
      <c r="I180" s="1" t="s">
        <v>2172</v>
      </c>
      <c r="J180" s="1" t="s">
        <v>2744</v>
      </c>
      <c r="K180" s="1" t="s">
        <v>2745</v>
      </c>
      <c r="L180" s="1">
        <v>0.62</v>
      </c>
      <c r="M180" s="1" t="s">
        <v>2685</v>
      </c>
      <c r="N180" s="1" t="s">
        <v>2744</v>
      </c>
      <c r="O180" s="1" t="s">
        <v>68</v>
      </c>
      <c r="P180" s="1">
        <v>1041.0</v>
      </c>
      <c r="Q180" s="1" t="s">
        <v>2172</v>
      </c>
      <c r="R180" s="1" t="s">
        <v>2745</v>
      </c>
      <c r="S180" s="1" t="s">
        <v>2366</v>
      </c>
      <c r="T180" s="1" t="s">
        <v>2746</v>
      </c>
      <c r="U180" s="1" t="s">
        <v>71</v>
      </c>
      <c r="V180" s="1" t="s">
        <v>72</v>
      </c>
      <c r="W180" s="1" t="s">
        <v>31</v>
      </c>
      <c r="X180" s="1" t="s">
        <v>31</v>
      </c>
      <c r="Y180" s="1" t="s">
        <v>73</v>
      </c>
      <c r="Z180" s="1" t="s">
        <v>51</v>
      </c>
      <c r="AA180" s="1" t="s">
        <v>31</v>
      </c>
      <c r="AB180" s="1" t="s">
        <v>31</v>
      </c>
      <c r="AC180" s="1" t="s">
        <v>74</v>
      </c>
      <c r="AD180" s="1" t="s">
        <v>31</v>
      </c>
      <c r="AE180" s="5"/>
    </row>
    <row r="181" ht="14.25" customHeight="1">
      <c r="A181" s="1" t="s">
        <v>33</v>
      </c>
      <c r="B181" s="1">
        <v>1.1000551E7</v>
      </c>
      <c r="C181" s="1" t="str">
        <f>VLOOKUP(B181,Equipment!A$1:J$575,9,0)</f>
        <v>E</v>
      </c>
      <c r="D181" s="1" t="s">
        <v>2754</v>
      </c>
      <c r="E181" s="1" t="s">
        <v>2755</v>
      </c>
      <c r="F181" s="1" t="s">
        <v>217</v>
      </c>
      <c r="G181" s="1" t="s">
        <v>2757</v>
      </c>
      <c r="H181" s="1" t="s">
        <v>2758</v>
      </c>
      <c r="I181" s="1" t="s">
        <v>2758</v>
      </c>
      <c r="J181" s="1" t="s">
        <v>2759</v>
      </c>
      <c r="K181" s="1" t="s">
        <v>2760</v>
      </c>
      <c r="L181" s="1">
        <v>0.66</v>
      </c>
      <c r="M181" s="1" t="s">
        <v>2758</v>
      </c>
      <c r="N181" s="1" t="s">
        <v>2761</v>
      </c>
      <c r="O181" s="1" t="s">
        <v>223</v>
      </c>
      <c r="P181" s="1">
        <v>1031.0</v>
      </c>
      <c r="Q181" s="1" t="s">
        <v>2758</v>
      </c>
      <c r="R181" s="1" t="s">
        <v>2760</v>
      </c>
      <c r="S181" s="1" t="s">
        <v>2758</v>
      </c>
      <c r="T181" s="1" t="s">
        <v>2765</v>
      </c>
      <c r="U181" s="1" t="s">
        <v>71</v>
      </c>
      <c r="V181" s="1" t="s">
        <v>72</v>
      </c>
      <c r="W181" s="1" t="s">
        <v>31</v>
      </c>
      <c r="X181" s="1" t="s">
        <v>2758</v>
      </c>
      <c r="Y181" s="1" t="s">
        <v>2759</v>
      </c>
      <c r="Z181" s="1" t="s">
        <v>51</v>
      </c>
      <c r="AA181" s="1" t="s">
        <v>31</v>
      </c>
      <c r="AB181" s="1" t="s">
        <v>31</v>
      </c>
      <c r="AC181" s="1" t="s">
        <v>227</v>
      </c>
      <c r="AD181" s="1" t="s">
        <v>31</v>
      </c>
      <c r="AE181" s="5"/>
    </row>
    <row r="182" ht="14.25" customHeight="1">
      <c r="A182" s="1" t="s">
        <v>33</v>
      </c>
      <c r="B182" s="1">
        <v>1.1000454E7</v>
      </c>
      <c r="C182" s="1" t="str">
        <f>VLOOKUP(B182,Equipment!A$1:J$575,9,0)</f>
        <v>E</v>
      </c>
      <c r="D182" s="1" t="s">
        <v>2771</v>
      </c>
      <c r="E182" s="1" t="s">
        <v>2772</v>
      </c>
      <c r="F182" s="1" t="s">
        <v>294</v>
      </c>
      <c r="G182" s="1" t="s">
        <v>2773</v>
      </c>
      <c r="H182" s="1" t="s">
        <v>2758</v>
      </c>
      <c r="I182" s="1" t="s">
        <v>2758</v>
      </c>
      <c r="J182" s="1" t="s">
        <v>2774</v>
      </c>
      <c r="K182" s="1" t="s">
        <v>2775</v>
      </c>
      <c r="L182" s="1">
        <v>1.5</v>
      </c>
      <c r="M182" s="1" t="s">
        <v>2758</v>
      </c>
      <c r="N182" s="1" t="s">
        <v>2777</v>
      </c>
      <c r="O182" s="1" t="s">
        <v>68</v>
      </c>
      <c r="P182" s="1">
        <v>1041.0</v>
      </c>
      <c r="Q182" s="1" t="s">
        <v>2758</v>
      </c>
      <c r="R182" s="1" t="s">
        <v>2775</v>
      </c>
      <c r="S182" s="1" t="s">
        <v>31</v>
      </c>
      <c r="T182" s="1" t="s">
        <v>73</v>
      </c>
      <c r="U182" s="1" t="s">
        <v>71</v>
      </c>
      <c r="V182" s="1" t="s">
        <v>72</v>
      </c>
      <c r="W182" s="1" t="s">
        <v>31</v>
      </c>
      <c r="X182" s="1" t="s">
        <v>2758</v>
      </c>
      <c r="Y182" s="1" t="s">
        <v>2777</v>
      </c>
      <c r="Z182" s="1" t="s">
        <v>51</v>
      </c>
      <c r="AA182" s="1" t="s">
        <v>31</v>
      </c>
      <c r="AB182" s="1" t="s">
        <v>31</v>
      </c>
      <c r="AC182" s="1" t="s">
        <v>74</v>
      </c>
      <c r="AD182" s="1" t="s">
        <v>31</v>
      </c>
      <c r="AE182" s="5"/>
    </row>
    <row r="183" ht="14.25" customHeight="1">
      <c r="A183" s="1" t="s">
        <v>33</v>
      </c>
      <c r="B183" s="1">
        <v>1.1000551E7</v>
      </c>
      <c r="C183" s="1" t="str">
        <f>VLOOKUP(B183,Equipment!A$1:J$575,9,0)</f>
        <v>E</v>
      </c>
      <c r="D183" s="1" t="s">
        <v>2785</v>
      </c>
      <c r="E183" s="1" t="s">
        <v>2788</v>
      </c>
      <c r="F183" s="1" t="s">
        <v>217</v>
      </c>
      <c r="G183" s="1" t="s">
        <v>2790</v>
      </c>
      <c r="H183" s="1" t="s">
        <v>1027</v>
      </c>
      <c r="I183" s="1" t="s">
        <v>1027</v>
      </c>
      <c r="J183" s="1" t="s">
        <v>2794</v>
      </c>
      <c r="K183" s="1" t="s">
        <v>2796</v>
      </c>
      <c r="L183" s="1">
        <v>0.91</v>
      </c>
      <c r="M183" s="1" t="s">
        <v>1027</v>
      </c>
      <c r="N183" s="1" t="s">
        <v>2794</v>
      </c>
      <c r="O183" s="1" t="s">
        <v>223</v>
      </c>
      <c r="P183" s="1">
        <v>1031.0</v>
      </c>
      <c r="Q183" s="1" t="s">
        <v>1027</v>
      </c>
      <c r="R183" s="1" t="s">
        <v>2796</v>
      </c>
      <c r="S183" s="1" t="s">
        <v>31</v>
      </c>
      <c r="T183" s="1" t="s">
        <v>73</v>
      </c>
      <c r="U183" s="1" t="s">
        <v>71</v>
      </c>
      <c r="V183" s="1" t="s">
        <v>72</v>
      </c>
      <c r="W183" s="1" t="s">
        <v>31</v>
      </c>
      <c r="X183" s="1" t="s">
        <v>1027</v>
      </c>
      <c r="Y183" s="1" t="s">
        <v>2794</v>
      </c>
      <c r="Z183" s="1" t="s">
        <v>51</v>
      </c>
      <c r="AA183" s="1" t="s">
        <v>31</v>
      </c>
      <c r="AB183" s="1" t="s">
        <v>31</v>
      </c>
      <c r="AC183" s="1" t="s">
        <v>227</v>
      </c>
      <c r="AD183" s="1" t="s">
        <v>31</v>
      </c>
      <c r="AE183" s="5"/>
    </row>
    <row r="184" ht="14.25" customHeight="1">
      <c r="A184" s="1" t="s">
        <v>33</v>
      </c>
      <c r="B184" s="1">
        <v>1.1000377E7</v>
      </c>
      <c r="C184" s="1" t="str">
        <f>VLOOKUP(B184,Equipment!A$1:J$575,9,0)</f>
        <v>E</v>
      </c>
      <c r="D184" s="1" t="s">
        <v>31</v>
      </c>
      <c r="E184" s="1" t="s">
        <v>2802</v>
      </c>
      <c r="F184" s="1" t="s">
        <v>825</v>
      </c>
      <c r="G184" s="1" t="s">
        <v>2803</v>
      </c>
      <c r="H184" s="1" t="s">
        <v>1027</v>
      </c>
      <c r="I184" s="1" t="s">
        <v>31</v>
      </c>
      <c r="J184" s="1" t="s">
        <v>2807</v>
      </c>
      <c r="K184" s="1" t="s">
        <v>73</v>
      </c>
      <c r="L184" s="1">
        <v>0.0</v>
      </c>
      <c r="M184" s="1" t="s">
        <v>1027</v>
      </c>
      <c r="N184" s="1" t="s">
        <v>2808</v>
      </c>
      <c r="O184" s="1" t="s">
        <v>68</v>
      </c>
      <c r="P184" s="1">
        <v>1041.0</v>
      </c>
      <c r="Q184" s="1" t="s">
        <v>1027</v>
      </c>
      <c r="R184" s="1" t="s">
        <v>2810</v>
      </c>
      <c r="S184" s="1" t="s">
        <v>1033</v>
      </c>
      <c r="T184" s="1" t="s">
        <v>2811</v>
      </c>
      <c r="U184" s="1" t="s">
        <v>71</v>
      </c>
      <c r="V184" s="1" t="s">
        <v>72</v>
      </c>
      <c r="W184" s="1" t="s">
        <v>31</v>
      </c>
      <c r="X184" s="1" t="s">
        <v>1027</v>
      </c>
      <c r="Y184" s="1" t="s">
        <v>2811</v>
      </c>
      <c r="Z184" s="1" t="s">
        <v>51</v>
      </c>
      <c r="AA184" s="1" t="s">
        <v>31</v>
      </c>
      <c r="AB184" s="1" t="s">
        <v>31</v>
      </c>
      <c r="AC184" s="1" t="s">
        <v>74</v>
      </c>
      <c r="AD184" s="1" t="s">
        <v>31</v>
      </c>
      <c r="AE184" s="5"/>
    </row>
    <row r="185" ht="14.25" customHeight="1">
      <c r="A185" s="1" t="s">
        <v>33</v>
      </c>
      <c r="B185" s="1">
        <v>1.100038E7</v>
      </c>
      <c r="C185" s="1" t="str">
        <f>VLOOKUP(B185,Equipment!A$1:J$575,9,0)</f>
        <v>E</v>
      </c>
      <c r="D185" s="1" t="s">
        <v>2817</v>
      </c>
      <c r="E185" s="1" t="s">
        <v>2818</v>
      </c>
      <c r="F185" s="1" t="s">
        <v>545</v>
      </c>
      <c r="G185" s="1" t="s">
        <v>2819</v>
      </c>
      <c r="H185" s="1" t="s">
        <v>1027</v>
      </c>
      <c r="I185" s="1" t="s">
        <v>1027</v>
      </c>
      <c r="J185" s="1" t="s">
        <v>297</v>
      </c>
      <c r="K185" s="1" t="s">
        <v>2821</v>
      </c>
      <c r="L185" s="1">
        <v>1.0</v>
      </c>
      <c r="M185" s="1" t="s">
        <v>1027</v>
      </c>
      <c r="N185" s="1" t="s">
        <v>2823</v>
      </c>
      <c r="O185" s="1" t="s">
        <v>68</v>
      </c>
      <c r="P185" s="1">
        <v>1041.0</v>
      </c>
      <c r="Q185" s="1" t="s">
        <v>1027</v>
      </c>
      <c r="R185" s="1" t="s">
        <v>2821</v>
      </c>
      <c r="S185" s="1" t="s">
        <v>31</v>
      </c>
      <c r="T185" s="1" t="s">
        <v>73</v>
      </c>
      <c r="U185" s="1" t="s">
        <v>71</v>
      </c>
      <c r="V185" s="1" t="s">
        <v>72</v>
      </c>
      <c r="W185" s="1" t="s">
        <v>31</v>
      </c>
      <c r="X185" s="1" t="s">
        <v>1027</v>
      </c>
      <c r="Y185" s="1" t="s">
        <v>2823</v>
      </c>
      <c r="Z185" s="1" t="s">
        <v>51</v>
      </c>
      <c r="AA185" s="1" t="s">
        <v>31</v>
      </c>
      <c r="AB185" s="1" t="s">
        <v>31</v>
      </c>
      <c r="AC185" s="1" t="s">
        <v>74</v>
      </c>
      <c r="AD185" s="1" t="s">
        <v>31</v>
      </c>
      <c r="AE185" s="5"/>
    </row>
    <row r="186" ht="14.25" customHeight="1">
      <c r="A186" s="1" t="s">
        <v>33</v>
      </c>
      <c r="B186" s="1">
        <v>1.1000389E7</v>
      </c>
      <c r="C186" s="1" t="str">
        <f>VLOOKUP(B186,Equipment!A$1:J$575,9,0)</f>
        <v>E</v>
      </c>
      <c r="D186" s="1" t="s">
        <v>2829</v>
      </c>
      <c r="E186" s="1" t="s">
        <v>2830</v>
      </c>
      <c r="F186" s="1" t="s">
        <v>60</v>
      </c>
      <c r="G186" s="1" t="s">
        <v>2832</v>
      </c>
      <c r="H186" s="1" t="s">
        <v>1027</v>
      </c>
      <c r="I186" s="1" t="s">
        <v>1027</v>
      </c>
      <c r="J186" s="1" t="s">
        <v>456</v>
      </c>
      <c r="K186" s="1" t="s">
        <v>2834</v>
      </c>
      <c r="L186" s="1">
        <v>2.5</v>
      </c>
      <c r="M186" s="1" t="s">
        <v>1027</v>
      </c>
      <c r="N186" s="1" t="s">
        <v>2837</v>
      </c>
      <c r="O186" s="1" t="s">
        <v>68</v>
      </c>
      <c r="P186" s="1">
        <v>1041.0</v>
      </c>
      <c r="Q186" s="1" t="s">
        <v>1027</v>
      </c>
      <c r="R186" s="1" t="s">
        <v>2834</v>
      </c>
      <c r="S186" s="1" t="s">
        <v>1033</v>
      </c>
      <c r="T186" s="1" t="s">
        <v>2840</v>
      </c>
      <c r="U186" s="1" t="s">
        <v>71</v>
      </c>
      <c r="V186" s="1" t="s">
        <v>72</v>
      </c>
      <c r="W186" s="1" t="s">
        <v>31</v>
      </c>
      <c r="X186" s="1" t="s">
        <v>31</v>
      </c>
      <c r="Y186" s="1" t="s">
        <v>73</v>
      </c>
      <c r="Z186" s="1" t="s">
        <v>51</v>
      </c>
      <c r="AA186" s="1" t="s">
        <v>31</v>
      </c>
      <c r="AB186" s="1" t="s">
        <v>31</v>
      </c>
      <c r="AC186" s="1" t="s">
        <v>74</v>
      </c>
      <c r="AD186" s="1" t="s">
        <v>31</v>
      </c>
      <c r="AE186" s="5"/>
    </row>
    <row r="187" ht="14.25" customHeight="1">
      <c r="A187" s="1" t="s">
        <v>33</v>
      </c>
      <c r="B187" s="1">
        <v>1.1000389E7</v>
      </c>
      <c r="C187" s="1" t="str">
        <f>VLOOKUP(B187,Equipment!A$1:J$575,9,0)</f>
        <v>E</v>
      </c>
      <c r="D187" s="1" t="s">
        <v>31</v>
      </c>
      <c r="E187" s="1" t="s">
        <v>2843</v>
      </c>
      <c r="F187" s="1" t="s">
        <v>60</v>
      </c>
      <c r="G187" s="1" t="s">
        <v>2844</v>
      </c>
      <c r="H187" s="1" t="s">
        <v>1027</v>
      </c>
      <c r="I187" s="1" t="s">
        <v>31</v>
      </c>
      <c r="J187" s="1" t="s">
        <v>2846</v>
      </c>
      <c r="K187" s="1" t="s">
        <v>73</v>
      </c>
      <c r="L187" s="1">
        <v>0.0</v>
      </c>
      <c r="M187" s="1" t="s">
        <v>1027</v>
      </c>
      <c r="N187" s="1" t="s">
        <v>2846</v>
      </c>
      <c r="O187" s="1" t="s">
        <v>68</v>
      </c>
      <c r="P187" s="1">
        <v>1041.0</v>
      </c>
      <c r="Q187" s="1" t="s">
        <v>1027</v>
      </c>
      <c r="R187" s="1" t="s">
        <v>2850</v>
      </c>
      <c r="S187" s="1" t="s">
        <v>1033</v>
      </c>
      <c r="T187" s="1" t="s">
        <v>2852</v>
      </c>
      <c r="U187" s="1" t="s">
        <v>71</v>
      </c>
      <c r="V187" s="1" t="s">
        <v>72</v>
      </c>
      <c r="W187" s="1" t="s">
        <v>31</v>
      </c>
      <c r="X187" s="1" t="s">
        <v>1027</v>
      </c>
      <c r="Y187" s="1" t="s">
        <v>2853</v>
      </c>
      <c r="Z187" s="1" t="s">
        <v>51</v>
      </c>
      <c r="AA187" s="1" t="s">
        <v>31</v>
      </c>
      <c r="AB187" s="1" t="s">
        <v>31</v>
      </c>
      <c r="AC187" s="1" t="s">
        <v>74</v>
      </c>
      <c r="AD187" s="1" t="s">
        <v>31</v>
      </c>
      <c r="AE187" s="5"/>
    </row>
    <row r="188" ht="14.25" customHeight="1">
      <c r="A188" s="1" t="s">
        <v>33</v>
      </c>
      <c r="B188" s="1">
        <v>1.100039E7</v>
      </c>
      <c r="C188" s="1" t="str">
        <f>VLOOKUP(B188,Equipment!A$1:J$575,9,0)</f>
        <v>E</v>
      </c>
      <c r="D188" s="1" t="s">
        <v>2858</v>
      </c>
      <c r="E188" s="1" t="s">
        <v>2859</v>
      </c>
      <c r="F188" s="1" t="s">
        <v>608</v>
      </c>
      <c r="G188" s="1" t="s">
        <v>2860</v>
      </c>
      <c r="H188" s="1" t="s">
        <v>1027</v>
      </c>
      <c r="I188" s="1" t="s">
        <v>2861</v>
      </c>
      <c r="J188" s="1" t="s">
        <v>2862</v>
      </c>
      <c r="K188" s="1" t="s">
        <v>2863</v>
      </c>
      <c r="L188" s="1">
        <v>744.14</v>
      </c>
      <c r="M188" s="1" t="s">
        <v>1027</v>
      </c>
      <c r="N188" s="1" t="s">
        <v>2862</v>
      </c>
      <c r="O188" s="1" t="s">
        <v>68</v>
      </c>
      <c r="P188" s="1">
        <v>1041.0</v>
      </c>
      <c r="Q188" s="1" t="s">
        <v>2861</v>
      </c>
      <c r="R188" s="1" t="s">
        <v>2865</v>
      </c>
      <c r="S188" s="1" t="s">
        <v>1033</v>
      </c>
      <c r="T188" s="1" t="s">
        <v>2866</v>
      </c>
      <c r="U188" s="1" t="s">
        <v>71</v>
      </c>
      <c r="V188" s="1" t="s">
        <v>72</v>
      </c>
      <c r="W188" s="1" t="s">
        <v>31</v>
      </c>
      <c r="X188" s="1" t="s">
        <v>31</v>
      </c>
      <c r="Y188" s="1" t="s">
        <v>73</v>
      </c>
      <c r="Z188" s="1" t="s">
        <v>51</v>
      </c>
      <c r="AA188" s="1" t="s">
        <v>31</v>
      </c>
      <c r="AB188" s="1" t="s">
        <v>31</v>
      </c>
      <c r="AC188" s="1" t="s">
        <v>74</v>
      </c>
      <c r="AD188" s="1" t="s">
        <v>31</v>
      </c>
      <c r="AE188" s="5"/>
    </row>
    <row r="189" ht="14.25" customHeight="1">
      <c r="A189" s="1" t="s">
        <v>33</v>
      </c>
      <c r="B189" s="1">
        <v>1.1000453E7</v>
      </c>
      <c r="C189" s="1" t="str">
        <f>VLOOKUP(B189,Equipment!A$1:J$575,9,0)</f>
        <v>E</v>
      </c>
      <c r="D189" s="1" t="s">
        <v>31</v>
      </c>
      <c r="E189" s="1" t="s">
        <v>2870</v>
      </c>
      <c r="F189" s="1" t="s">
        <v>283</v>
      </c>
      <c r="G189" s="1" t="s">
        <v>2871</v>
      </c>
      <c r="H189" s="1" t="s">
        <v>1027</v>
      </c>
      <c r="I189" s="1" t="s">
        <v>31</v>
      </c>
      <c r="J189" s="1" t="s">
        <v>2874</v>
      </c>
      <c r="K189" s="1" t="s">
        <v>73</v>
      </c>
      <c r="L189" s="1">
        <v>0.0</v>
      </c>
      <c r="M189" s="1" t="s">
        <v>1027</v>
      </c>
      <c r="N189" s="1" t="s">
        <v>2874</v>
      </c>
      <c r="O189" s="1" t="s">
        <v>68</v>
      </c>
      <c r="P189" s="1">
        <v>1041.0</v>
      </c>
      <c r="Q189" s="1" t="s">
        <v>1027</v>
      </c>
      <c r="R189" s="1" t="s">
        <v>2879</v>
      </c>
      <c r="S189" s="1" t="s">
        <v>2758</v>
      </c>
      <c r="T189" s="1" t="s">
        <v>2880</v>
      </c>
      <c r="U189" s="1" t="s">
        <v>71</v>
      </c>
      <c r="V189" s="1" t="s">
        <v>72</v>
      </c>
      <c r="W189" s="1" t="s">
        <v>31</v>
      </c>
      <c r="X189" s="1" t="s">
        <v>31</v>
      </c>
      <c r="Y189" s="1" t="s">
        <v>73</v>
      </c>
      <c r="Z189" s="1" t="s">
        <v>51</v>
      </c>
      <c r="AA189" s="1" t="s">
        <v>31</v>
      </c>
      <c r="AB189" s="1" t="s">
        <v>31</v>
      </c>
      <c r="AC189" s="1" t="s">
        <v>74</v>
      </c>
      <c r="AD189" s="1" t="s">
        <v>31</v>
      </c>
      <c r="AE189" s="5"/>
    </row>
    <row r="190" ht="14.25" customHeight="1">
      <c r="A190" s="1" t="s">
        <v>33</v>
      </c>
      <c r="B190" s="1">
        <v>1.1000453E7</v>
      </c>
      <c r="C190" s="1" t="str">
        <f>VLOOKUP(B190,Equipment!A$1:J$575,9,0)</f>
        <v>E</v>
      </c>
      <c r="D190" s="1" t="s">
        <v>31</v>
      </c>
      <c r="E190" s="1" t="s">
        <v>2886</v>
      </c>
      <c r="F190" s="1" t="s">
        <v>283</v>
      </c>
      <c r="G190" s="1" t="s">
        <v>2888</v>
      </c>
      <c r="H190" s="1" t="s">
        <v>1027</v>
      </c>
      <c r="I190" s="1" t="s">
        <v>31</v>
      </c>
      <c r="J190" s="1" t="s">
        <v>2890</v>
      </c>
      <c r="K190" s="1" t="s">
        <v>73</v>
      </c>
      <c r="L190" s="1">
        <v>0.0</v>
      </c>
      <c r="M190" s="1" t="s">
        <v>1027</v>
      </c>
      <c r="N190" s="1" t="s">
        <v>2890</v>
      </c>
      <c r="O190" s="1" t="s">
        <v>68</v>
      </c>
      <c r="P190" s="1">
        <v>1041.0</v>
      </c>
      <c r="Q190" s="1" t="s">
        <v>1027</v>
      </c>
      <c r="R190" s="1" t="s">
        <v>2891</v>
      </c>
      <c r="S190" s="1" t="s">
        <v>2758</v>
      </c>
      <c r="T190" s="1" t="s">
        <v>2892</v>
      </c>
      <c r="U190" s="1" t="s">
        <v>71</v>
      </c>
      <c r="V190" s="1" t="s">
        <v>72</v>
      </c>
      <c r="W190" s="1" t="s">
        <v>31</v>
      </c>
      <c r="X190" s="1" t="s">
        <v>31</v>
      </c>
      <c r="Y190" s="1" t="s">
        <v>73</v>
      </c>
      <c r="Z190" s="1" t="s">
        <v>51</v>
      </c>
      <c r="AA190" s="1" t="s">
        <v>31</v>
      </c>
      <c r="AB190" s="1" t="s">
        <v>31</v>
      </c>
      <c r="AC190" s="1" t="s">
        <v>74</v>
      </c>
      <c r="AD190" s="1" t="s">
        <v>31</v>
      </c>
      <c r="AE190" s="5"/>
    </row>
    <row r="191" ht="14.25" customHeight="1">
      <c r="A191" s="1" t="s">
        <v>33</v>
      </c>
      <c r="B191" s="1">
        <v>1.1000454E7</v>
      </c>
      <c r="C191" s="1" t="str">
        <f>VLOOKUP(B191,Equipment!A$1:J$575,9,0)</f>
        <v>E</v>
      </c>
      <c r="D191" s="1" t="s">
        <v>31</v>
      </c>
      <c r="E191" s="1" t="s">
        <v>2902</v>
      </c>
      <c r="F191" s="1" t="s">
        <v>294</v>
      </c>
      <c r="G191" s="1" t="s">
        <v>2871</v>
      </c>
      <c r="H191" s="1" t="s">
        <v>1027</v>
      </c>
      <c r="I191" s="1" t="s">
        <v>31</v>
      </c>
      <c r="J191" s="1" t="s">
        <v>2904</v>
      </c>
      <c r="K191" s="1" t="s">
        <v>73</v>
      </c>
      <c r="L191" s="1">
        <v>0.0</v>
      </c>
      <c r="M191" s="1" t="s">
        <v>1027</v>
      </c>
      <c r="N191" s="1" t="s">
        <v>2904</v>
      </c>
      <c r="O191" s="1" t="s">
        <v>68</v>
      </c>
      <c r="P191" s="1">
        <v>1041.0</v>
      </c>
      <c r="Q191" s="1" t="s">
        <v>1027</v>
      </c>
      <c r="R191" s="1" t="s">
        <v>2905</v>
      </c>
      <c r="S191" s="1" t="s">
        <v>2758</v>
      </c>
      <c r="T191" s="1" t="s">
        <v>2906</v>
      </c>
      <c r="U191" s="1" t="s">
        <v>71</v>
      </c>
      <c r="V191" s="1" t="s">
        <v>72</v>
      </c>
      <c r="W191" s="1" t="s">
        <v>31</v>
      </c>
      <c r="X191" s="1" t="s">
        <v>31</v>
      </c>
      <c r="Y191" s="1" t="s">
        <v>73</v>
      </c>
      <c r="Z191" s="1" t="s">
        <v>51</v>
      </c>
      <c r="AA191" s="1" t="s">
        <v>31</v>
      </c>
      <c r="AB191" s="1" t="s">
        <v>31</v>
      </c>
      <c r="AC191" s="1" t="s">
        <v>74</v>
      </c>
      <c r="AD191" s="1" t="s">
        <v>31</v>
      </c>
      <c r="AE191" s="5"/>
    </row>
    <row r="192" ht="14.25" customHeight="1">
      <c r="A192" s="1" t="s">
        <v>33</v>
      </c>
      <c r="B192" s="1">
        <v>1.1000482E7</v>
      </c>
      <c r="C192" s="1" t="str">
        <f>VLOOKUP(B192,Equipment!A$1:J$575,9,0)</f>
        <v>E</v>
      </c>
      <c r="D192" s="1" t="s">
        <v>31</v>
      </c>
      <c r="E192" s="1" t="s">
        <v>2914</v>
      </c>
      <c r="F192" s="1" t="s">
        <v>100</v>
      </c>
      <c r="G192" s="1" t="s">
        <v>2917</v>
      </c>
      <c r="H192" s="1" t="s">
        <v>1027</v>
      </c>
      <c r="I192" s="1" t="s">
        <v>31</v>
      </c>
      <c r="J192" s="1" t="s">
        <v>2920</v>
      </c>
      <c r="K192" s="1" t="s">
        <v>73</v>
      </c>
      <c r="L192" s="1">
        <v>0.0</v>
      </c>
      <c r="M192" s="1" t="s">
        <v>1027</v>
      </c>
      <c r="N192" s="1" t="s">
        <v>2920</v>
      </c>
      <c r="O192" s="1" t="s">
        <v>68</v>
      </c>
      <c r="P192" s="1">
        <v>1041.0</v>
      </c>
      <c r="Q192" s="1" t="s">
        <v>1027</v>
      </c>
      <c r="R192" s="1" t="s">
        <v>2922</v>
      </c>
      <c r="S192" s="1" t="s">
        <v>2758</v>
      </c>
      <c r="T192" s="1" t="s">
        <v>2923</v>
      </c>
      <c r="U192" s="1" t="s">
        <v>71</v>
      </c>
      <c r="V192" s="1" t="s">
        <v>72</v>
      </c>
      <c r="W192" s="1" t="s">
        <v>31</v>
      </c>
      <c r="X192" s="1" t="s">
        <v>31</v>
      </c>
      <c r="Y192" s="1" t="s">
        <v>73</v>
      </c>
      <c r="Z192" s="1" t="s">
        <v>51</v>
      </c>
      <c r="AA192" s="1" t="s">
        <v>31</v>
      </c>
      <c r="AB192" s="1" t="s">
        <v>31</v>
      </c>
      <c r="AC192" s="1" t="s">
        <v>74</v>
      </c>
      <c r="AD192" s="1" t="s">
        <v>31</v>
      </c>
      <c r="AE192" s="5"/>
    </row>
    <row r="193" ht="14.25" customHeight="1">
      <c r="A193" s="1" t="s">
        <v>33</v>
      </c>
      <c r="B193" s="1">
        <v>1.1000254E7</v>
      </c>
      <c r="C193" s="1" t="str">
        <f>VLOOKUP(B193,Equipment!A$1:J$575,9,0)</f>
        <v>E</v>
      </c>
      <c r="D193" s="1" t="s">
        <v>2936</v>
      </c>
      <c r="E193" s="1" t="s">
        <v>2937</v>
      </c>
      <c r="F193" s="1" t="s">
        <v>477</v>
      </c>
      <c r="G193" s="1" t="s">
        <v>2938</v>
      </c>
      <c r="H193" s="1" t="s">
        <v>1027</v>
      </c>
      <c r="I193" s="1" t="s">
        <v>1027</v>
      </c>
      <c r="J193" s="1" t="s">
        <v>2939</v>
      </c>
      <c r="K193" s="1" t="s">
        <v>2941</v>
      </c>
      <c r="L193" s="1">
        <v>0.66</v>
      </c>
      <c r="M193" s="1" t="s">
        <v>1027</v>
      </c>
      <c r="N193" s="1" t="s">
        <v>2939</v>
      </c>
      <c r="O193" s="1" t="s">
        <v>131</v>
      </c>
      <c r="P193" s="1">
        <v>2001.0</v>
      </c>
      <c r="Q193" s="1" t="s">
        <v>1027</v>
      </c>
      <c r="R193" s="1" t="s">
        <v>2945</v>
      </c>
      <c r="S193" s="1" t="s">
        <v>31</v>
      </c>
      <c r="T193" s="1" t="s">
        <v>73</v>
      </c>
      <c r="U193" s="1" t="s">
        <v>71</v>
      </c>
      <c r="V193" s="1" t="s">
        <v>72</v>
      </c>
      <c r="W193" s="1" t="s">
        <v>31</v>
      </c>
      <c r="X193" s="1" t="s">
        <v>1027</v>
      </c>
      <c r="Y193" s="1" t="s">
        <v>2946</v>
      </c>
      <c r="Z193" s="1" t="s">
        <v>51</v>
      </c>
      <c r="AA193" s="1" t="s">
        <v>31</v>
      </c>
      <c r="AB193" s="1" t="s">
        <v>31</v>
      </c>
      <c r="AC193" s="1" t="s">
        <v>137</v>
      </c>
      <c r="AD193" s="1" t="s">
        <v>31</v>
      </c>
      <c r="AE193" s="5"/>
    </row>
    <row r="194" ht="14.25" customHeight="1">
      <c r="A194" s="1" t="s">
        <v>33</v>
      </c>
      <c r="B194" s="1">
        <v>1.1000255E7</v>
      </c>
      <c r="C194" s="1" t="str">
        <f>VLOOKUP(B194,Equipment!A$1:J$575,9,0)</f>
        <v>E</v>
      </c>
      <c r="D194" s="1" t="s">
        <v>2951</v>
      </c>
      <c r="E194" s="1" t="s">
        <v>2952</v>
      </c>
      <c r="F194" s="1" t="s">
        <v>517</v>
      </c>
      <c r="G194" s="1" t="s">
        <v>2954</v>
      </c>
      <c r="H194" s="1" t="s">
        <v>1027</v>
      </c>
      <c r="I194" s="1" t="s">
        <v>1027</v>
      </c>
      <c r="J194" s="1" t="s">
        <v>119</v>
      </c>
      <c r="K194" s="1" t="s">
        <v>2957</v>
      </c>
      <c r="L194" s="1">
        <v>1.33</v>
      </c>
      <c r="M194" s="1" t="s">
        <v>1027</v>
      </c>
      <c r="N194" s="1" t="s">
        <v>119</v>
      </c>
      <c r="O194" s="1" t="s">
        <v>131</v>
      </c>
      <c r="P194" s="1">
        <v>2001.0</v>
      </c>
      <c r="Q194" s="1" t="s">
        <v>1027</v>
      </c>
      <c r="R194" s="1" t="s">
        <v>2959</v>
      </c>
      <c r="S194" s="1" t="s">
        <v>31</v>
      </c>
      <c r="T194" s="1" t="s">
        <v>73</v>
      </c>
      <c r="U194" s="1" t="s">
        <v>71</v>
      </c>
      <c r="V194" s="1" t="s">
        <v>72</v>
      </c>
      <c r="W194" s="1" t="s">
        <v>31</v>
      </c>
      <c r="X194" s="1" t="s">
        <v>1027</v>
      </c>
      <c r="Y194" s="1" t="s">
        <v>2960</v>
      </c>
      <c r="Z194" s="1" t="s">
        <v>51</v>
      </c>
      <c r="AA194" s="1" t="s">
        <v>31</v>
      </c>
      <c r="AB194" s="1" t="s">
        <v>31</v>
      </c>
      <c r="AC194" s="1" t="s">
        <v>137</v>
      </c>
      <c r="AD194" s="1" t="s">
        <v>31</v>
      </c>
      <c r="AE194" s="5"/>
    </row>
    <row r="195" ht="14.25" customHeight="1">
      <c r="A195" s="1" t="s">
        <v>33</v>
      </c>
      <c r="B195" s="1">
        <v>1.1000302E7</v>
      </c>
      <c r="C195" s="1" t="str">
        <f>VLOOKUP(B195,Equipment!A$1:J$575,9,0)</f>
        <v>E</v>
      </c>
      <c r="D195" s="1" t="s">
        <v>2968</v>
      </c>
      <c r="E195" s="1" t="s">
        <v>2969</v>
      </c>
      <c r="F195" s="1" t="s">
        <v>337</v>
      </c>
      <c r="G195" s="1" t="s">
        <v>2971</v>
      </c>
      <c r="H195" s="1" t="s">
        <v>1027</v>
      </c>
      <c r="I195" s="1" t="s">
        <v>1027</v>
      </c>
      <c r="J195" s="1" t="s">
        <v>120</v>
      </c>
      <c r="K195" s="1" t="s">
        <v>2142</v>
      </c>
      <c r="L195" s="1">
        <v>3.0</v>
      </c>
      <c r="M195" s="1" t="s">
        <v>1027</v>
      </c>
      <c r="N195" s="1" t="s">
        <v>120</v>
      </c>
      <c r="O195" s="1" t="s">
        <v>131</v>
      </c>
      <c r="P195" s="1">
        <v>2001.0</v>
      </c>
      <c r="Q195" s="1" t="s">
        <v>1027</v>
      </c>
      <c r="R195" s="1" t="s">
        <v>2974</v>
      </c>
      <c r="S195" s="1" t="s">
        <v>31</v>
      </c>
      <c r="T195" s="1" t="s">
        <v>73</v>
      </c>
      <c r="U195" s="1" t="s">
        <v>71</v>
      </c>
      <c r="V195" s="1" t="s">
        <v>72</v>
      </c>
      <c r="W195" s="1" t="s">
        <v>31</v>
      </c>
      <c r="X195" s="1" t="s">
        <v>1027</v>
      </c>
      <c r="Y195" s="1" t="s">
        <v>2976</v>
      </c>
      <c r="Z195" s="1" t="s">
        <v>51</v>
      </c>
      <c r="AA195" s="1" t="s">
        <v>31</v>
      </c>
      <c r="AB195" s="1" t="s">
        <v>31</v>
      </c>
      <c r="AC195" s="1" t="s">
        <v>137</v>
      </c>
      <c r="AD195" s="1" t="s">
        <v>31</v>
      </c>
      <c r="AE195" s="5"/>
    </row>
    <row r="196" ht="14.25" customHeight="1">
      <c r="A196" s="1" t="s">
        <v>33</v>
      </c>
      <c r="B196" s="1">
        <v>1.1001234E7</v>
      </c>
      <c r="C196" s="1" t="str">
        <f>VLOOKUP(B196,Equipment!A$1:J$575,9,0)</f>
        <v>E</v>
      </c>
      <c r="D196" s="1" t="s">
        <v>2979</v>
      </c>
      <c r="E196" s="1" t="s">
        <v>2980</v>
      </c>
      <c r="F196" s="1" t="s">
        <v>2494</v>
      </c>
      <c r="G196" s="1" t="s">
        <v>2982</v>
      </c>
      <c r="H196" s="1" t="s">
        <v>2795</v>
      </c>
      <c r="I196" s="1" t="s">
        <v>2795</v>
      </c>
      <c r="J196" s="1" t="s">
        <v>2983</v>
      </c>
      <c r="K196" s="1" t="s">
        <v>955</v>
      </c>
      <c r="L196" s="1">
        <v>5.54</v>
      </c>
      <c r="M196" s="1" t="s">
        <v>2795</v>
      </c>
      <c r="N196" s="1" t="s">
        <v>2983</v>
      </c>
      <c r="O196" s="1" t="s">
        <v>1176</v>
      </c>
      <c r="P196" s="1">
        <v>1002.0</v>
      </c>
      <c r="Q196" s="1" t="s">
        <v>2795</v>
      </c>
      <c r="R196" s="1" t="s">
        <v>955</v>
      </c>
      <c r="S196" s="1" t="s">
        <v>2795</v>
      </c>
      <c r="T196" s="1" t="s">
        <v>955</v>
      </c>
      <c r="U196" s="1" t="s">
        <v>71</v>
      </c>
      <c r="V196" s="1" t="s">
        <v>72</v>
      </c>
      <c r="W196" s="1" t="s">
        <v>31</v>
      </c>
      <c r="X196" s="1" t="s">
        <v>2795</v>
      </c>
      <c r="Y196" s="1" t="s">
        <v>2983</v>
      </c>
      <c r="Z196" s="1" t="s">
        <v>51</v>
      </c>
      <c r="AA196" s="1" t="s">
        <v>31</v>
      </c>
      <c r="AB196" s="1" t="s">
        <v>31</v>
      </c>
      <c r="AC196" s="1" t="s">
        <v>31</v>
      </c>
      <c r="AD196" s="1" t="s">
        <v>31</v>
      </c>
      <c r="AE196" s="5"/>
    </row>
    <row r="197" ht="14.25" customHeight="1">
      <c r="A197" s="1" t="s">
        <v>33</v>
      </c>
      <c r="B197" s="1">
        <v>1.1000377E7</v>
      </c>
      <c r="C197" s="1" t="str">
        <f>VLOOKUP(B197,Equipment!A$1:J$575,9,0)</f>
        <v>E</v>
      </c>
      <c r="D197" s="1" t="s">
        <v>2996</v>
      </c>
      <c r="E197" s="1" t="s">
        <v>2997</v>
      </c>
      <c r="F197" s="1" t="s">
        <v>825</v>
      </c>
      <c r="G197" s="1" t="s">
        <v>2998</v>
      </c>
      <c r="H197" s="1" t="s">
        <v>2795</v>
      </c>
      <c r="I197" s="1" t="s">
        <v>2366</v>
      </c>
      <c r="J197" s="1" t="s">
        <v>2999</v>
      </c>
      <c r="K197" s="1" t="s">
        <v>3000</v>
      </c>
      <c r="L197" s="1">
        <v>1.58</v>
      </c>
      <c r="M197" s="1" t="s">
        <v>2795</v>
      </c>
      <c r="N197" s="1" t="s">
        <v>3002</v>
      </c>
      <c r="O197" s="1" t="s">
        <v>68</v>
      </c>
      <c r="P197" s="1">
        <v>1041.0</v>
      </c>
      <c r="Q197" s="1" t="s">
        <v>2366</v>
      </c>
      <c r="R197" s="1" t="s">
        <v>3000</v>
      </c>
      <c r="S197" s="1" t="s">
        <v>2366</v>
      </c>
      <c r="T197" s="1" t="s">
        <v>3004</v>
      </c>
      <c r="U197" s="1" t="s">
        <v>71</v>
      </c>
      <c r="V197" s="1" t="s">
        <v>72</v>
      </c>
      <c r="W197" s="1" t="s">
        <v>31</v>
      </c>
      <c r="X197" s="1" t="s">
        <v>31</v>
      </c>
      <c r="Y197" s="1" t="s">
        <v>73</v>
      </c>
      <c r="Z197" s="1" t="s">
        <v>51</v>
      </c>
      <c r="AA197" s="1" t="s">
        <v>31</v>
      </c>
      <c r="AB197" s="1" t="s">
        <v>31</v>
      </c>
      <c r="AC197" s="1" t="s">
        <v>74</v>
      </c>
      <c r="AD197" s="1" t="s">
        <v>31</v>
      </c>
      <c r="AE197" s="5"/>
    </row>
    <row r="198" ht="14.25" customHeight="1">
      <c r="A198" s="1" t="s">
        <v>33</v>
      </c>
      <c r="B198" s="1">
        <v>1.1000378E7</v>
      </c>
      <c r="C198" s="1" t="str">
        <f>VLOOKUP(B198,Equipment!A$1:J$575,9,0)</f>
        <v>E</v>
      </c>
      <c r="D198" s="1" t="s">
        <v>31</v>
      </c>
      <c r="E198" s="1" t="s">
        <v>3009</v>
      </c>
      <c r="F198" s="1" t="s">
        <v>833</v>
      </c>
      <c r="G198" s="1" t="s">
        <v>3010</v>
      </c>
      <c r="H198" s="1" t="s">
        <v>2795</v>
      </c>
      <c r="I198" s="1" t="s">
        <v>31</v>
      </c>
      <c r="J198" s="1" t="s">
        <v>3011</v>
      </c>
      <c r="K198" s="1" t="s">
        <v>73</v>
      </c>
      <c r="L198" s="1">
        <v>0.0</v>
      </c>
      <c r="M198" s="1" t="s">
        <v>2795</v>
      </c>
      <c r="N198" s="1" t="s">
        <v>3011</v>
      </c>
      <c r="O198" s="1" t="s">
        <v>68</v>
      </c>
      <c r="P198" s="1">
        <v>1041.0</v>
      </c>
      <c r="Q198" s="1" t="s">
        <v>2795</v>
      </c>
      <c r="R198" s="1" t="s">
        <v>3013</v>
      </c>
      <c r="S198" s="1" t="s">
        <v>2366</v>
      </c>
      <c r="T198" s="1" t="s">
        <v>3014</v>
      </c>
      <c r="U198" s="1" t="s">
        <v>71</v>
      </c>
      <c r="V198" s="1" t="s">
        <v>72</v>
      </c>
      <c r="W198" s="1" t="s">
        <v>31</v>
      </c>
      <c r="X198" s="1" t="s">
        <v>31</v>
      </c>
      <c r="Y198" s="1" t="s">
        <v>73</v>
      </c>
      <c r="Z198" s="1" t="s">
        <v>51</v>
      </c>
      <c r="AA198" s="1" t="s">
        <v>31</v>
      </c>
      <c r="AB198" s="1" t="s">
        <v>31</v>
      </c>
      <c r="AC198" s="1" t="s">
        <v>74</v>
      </c>
      <c r="AD198" s="1" t="s">
        <v>31</v>
      </c>
      <c r="AE198" s="5"/>
    </row>
    <row r="199" ht="14.25" customHeight="1">
      <c r="A199" s="1" t="s">
        <v>33</v>
      </c>
      <c r="B199" s="1">
        <v>1.1000379E7</v>
      </c>
      <c r="C199" s="1" t="str">
        <f>VLOOKUP(B199,Equipment!A$1:J$575,9,0)</f>
        <v>E</v>
      </c>
      <c r="D199" s="1" t="s">
        <v>3021</v>
      </c>
      <c r="E199" s="1" t="s">
        <v>3022</v>
      </c>
      <c r="F199" s="1" t="s">
        <v>386</v>
      </c>
      <c r="G199" s="1" t="s">
        <v>3026</v>
      </c>
      <c r="H199" s="1" t="s">
        <v>2795</v>
      </c>
      <c r="I199" s="1" t="s">
        <v>2795</v>
      </c>
      <c r="J199" s="1" t="s">
        <v>3027</v>
      </c>
      <c r="K199" s="1" t="s">
        <v>3028</v>
      </c>
      <c r="L199" s="1">
        <v>0.5</v>
      </c>
      <c r="M199" s="1" t="s">
        <v>2795</v>
      </c>
      <c r="N199" s="1" t="s">
        <v>3029</v>
      </c>
      <c r="O199" s="1" t="s">
        <v>68</v>
      </c>
      <c r="P199" s="1">
        <v>1041.0</v>
      </c>
      <c r="Q199" s="1" t="s">
        <v>2795</v>
      </c>
      <c r="R199" s="1" t="s">
        <v>3028</v>
      </c>
      <c r="S199" s="1" t="s">
        <v>2366</v>
      </c>
      <c r="T199" s="1" t="s">
        <v>3031</v>
      </c>
      <c r="U199" s="1" t="s">
        <v>71</v>
      </c>
      <c r="V199" s="1" t="s">
        <v>72</v>
      </c>
      <c r="W199" s="1" t="s">
        <v>31</v>
      </c>
      <c r="X199" s="1" t="s">
        <v>2795</v>
      </c>
      <c r="Y199" s="1" t="s">
        <v>3031</v>
      </c>
      <c r="Z199" s="1" t="s">
        <v>51</v>
      </c>
      <c r="AA199" s="1" t="s">
        <v>31</v>
      </c>
      <c r="AB199" s="1" t="s">
        <v>31</v>
      </c>
      <c r="AC199" s="1" t="s">
        <v>74</v>
      </c>
      <c r="AD199" s="1" t="s">
        <v>31</v>
      </c>
      <c r="AE199" s="5"/>
    </row>
    <row r="200" ht="14.25" customHeight="1">
      <c r="A200" s="1" t="s">
        <v>33</v>
      </c>
      <c r="B200" s="1">
        <v>1.1000383E7</v>
      </c>
      <c r="C200" s="1" t="str">
        <f>VLOOKUP(B200,Equipment!A$1:J$575,9,0)</f>
        <v>E</v>
      </c>
      <c r="D200" s="1" t="s">
        <v>31</v>
      </c>
      <c r="E200" s="1" t="s">
        <v>3033</v>
      </c>
      <c r="F200" s="1" t="s">
        <v>861</v>
      </c>
      <c r="G200" s="1" t="s">
        <v>3034</v>
      </c>
      <c r="H200" s="1" t="s">
        <v>2795</v>
      </c>
      <c r="I200" s="1" t="s">
        <v>31</v>
      </c>
      <c r="J200" s="1" t="s">
        <v>3035</v>
      </c>
      <c r="K200" s="1" t="s">
        <v>73</v>
      </c>
      <c r="L200" s="1">
        <v>0.0</v>
      </c>
      <c r="M200" s="1" t="s">
        <v>2795</v>
      </c>
      <c r="N200" s="1" t="s">
        <v>3035</v>
      </c>
      <c r="O200" s="1" t="s">
        <v>68</v>
      </c>
      <c r="P200" s="1">
        <v>1041.0</v>
      </c>
      <c r="Q200" s="1" t="s">
        <v>2795</v>
      </c>
      <c r="R200" s="1" t="s">
        <v>3041</v>
      </c>
      <c r="S200" s="1" t="s">
        <v>2366</v>
      </c>
      <c r="T200" s="1" t="s">
        <v>3042</v>
      </c>
      <c r="U200" s="1" t="s">
        <v>71</v>
      </c>
      <c r="V200" s="1" t="s">
        <v>72</v>
      </c>
      <c r="W200" s="1" t="s">
        <v>31</v>
      </c>
      <c r="X200" s="1" t="s">
        <v>2795</v>
      </c>
      <c r="Y200" s="1" t="s">
        <v>3042</v>
      </c>
      <c r="Z200" s="1" t="s">
        <v>51</v>
      </c>
      <c r="AA200" s="1" t="s">
        <v>31</v>
      </c>
      <c r="AB200" s="1" t="s">
        <v>31</v>
      </c>
      <c r="AC200" s="1" t="s">
        <v>74</v>
      </c>
      <c r="AD200" s="1" t="s">
        <v>31</v>
      </c>
      <c r="AE200" s="5"/>
    </row>
    <row r="201" ht="14.25" customHeight="1">
      <c r="A201" s="1" t="s">
        <v>33</v>
      </c>
      <c r="B201" s="1">
        <v>1.1000386E7</v>
      </c>
      <c r="C201" s="1" t="str">
        <f>VLOOKUP(B201,Equipment!A$1:J$575,9,0)</f>
        <v>E</v>
      </c>
      <c r="D201" s="1" t="s">
        <v>3054</v>
      </c>
      <c r="E201" s="1" t="s">
        <v>3055</v>
      </c>
      <c r="F201" s="1" t="s">
        <v>415</v>
      </c>
      <c r="G201" s="1" t="s">
        <v>3057</v>
      </c>
      <c r="H201" s="1" t="s">
        <v>2795</v>
      </c>
      <c r="I201" s="1" t="s">
        <v>31</v>
      </c>
      <c r="J201" s="1" t="s">
        <v>3059</v>
      </c>
      <c r="K201" s="1" t="s">
        <v>73</v>
      </c>
      <c r="L201" s="1">
        <v>0.0</v>
      </c>
      <c r="M201" s="1" t="s">
        <v>2795</v>
      </c>
      <c r="N201" s="1" t="s">
        <v>3059</v>
      </c>
      <c r="O201" s="1" t="s">
        <v>68</v>
      </c>
      <c r="P201" s="1">
        <v>1041.0</v>
      </c>
      <c r="Q201" s="1" t="s">
        <v>1945</v>
      </c>
      <c r="R201" s="1" t="s">
        <v>3060</v>
      </c>
      <c r="S201" s="1" t="s">
        <v>1027</v>
      </c>
      <c r="T201" s="1" t="s">
        <v>3062</v>
      </c>
      <c r="U201" s="1" t="s">
        <v>71</v>
      </c>
      <c r="V201" s="1" t="s">
        <v>72</v>
      </c>
      <c r="W201" s="1" t="s">
        <v>31</v>
      </c>
      <c r="X201" s="1" t="s">
        <v>31</v>
      </c>
      <c r="Y201" s="1" t="s">
        <v>73</v>
      </c>
      <c r="Z201" s="1" t="s">
        <v>51</v>
      </c>
      <c r="AA201" s="1" t="s">
        <v>31</v>
      </c>
      <c r="AB201" s="1" t="s">
        <v>31</v>
      </c>
      <c r="AC201" s="1" t="s">
        <v>74</v>
      </c>
      <c r="AD201" s="1" t="s">
        <v>31</v>
      </c>
      <c r="AE201" s="5"/>
    </row>
    <row r="202" ht="14.25" customHeight="1">
      <c r="A202" s="1" t="s">
        <v>33</v>
      </c>
      <c r="B202" s="1">
        <v>1.1000389E7</v>
      </c>
      <c r="C202" s="1" t="str">
        <f>VLOOKUP(B202,Equipment!A$1:J$575,9,0)</f>
        <v>E</v>
      </c>
      <c r="D202" s="1" t="s">
        <v>31</v>
      </c>
      <c r="E202" s="1" t="s">
        <v>3069</v>
      </c>
      <c r="F202" s="1" t="s">
        <v>60</v>
      </c>
      <c r="G202" s="1" t="s">
        <v>2844</v>
      </c>
      <c r="H202" s="1" t="s">
        <v>2795</v>
      </c>
      <c r="I202" s="1" t="s">
        <v>31</v>
      </c>
      <c r="J202" s="1" t="s">
        <v>3070</v>
      </c>
      <c r="K202" s="1" t="s">
        <v>73</v>
      </c>
      <c r="L202" s="1">
        <v>0.0</v>
      </c>
      <c r="M202" s="1" t="s">
        <v>2795</v>
      </c>
      <c r="N202" s="1" t="s">
        <v>3071</v>
      </c>
      <c r="O202" s="1" t="s">
        <v>68</v>
      </c>
      <c r="P202" s="1">
        <v>1041.0</v>
      </c>
      <c r="Q202" s="1" t="s">
        <v>2795</v>
      </c>
      <c r="R202" s="1" t="s">
        <v>3073</v>
      </c>
      <c r="S202" s="1" t="s">
        <v>2366</v>
      </c>
      <c r="T202" s="1" t="s">
        <v>3074</v>
      </c>
      <c r="U202" s="1" t="s">
        <v>71</v>
      </c>
      <c r="V202" s="1" t="s">
        <v>72</v>
      </c>
      <c r="W202" s="1" t="s">
        <v>31</v>
      </c>
      <c r="X202" s="1" t="s">
        <v>2795</v>
      </c>
      <c r="Y202" s="1" t="s">
        <v>3074</v>
      </c>
      <c r="Z202" s="1" t="s">
        <v>51</v>
      </c>
      <c r="AA202" s="1" t="s">
        <v>31</v>
      </c>
      <c r="AB202" s="1" t="s">
        <v>31</v>
      </c>
      <c r="AC202" s="1" t="s">
        <v>74</v>
      </c>
      <c r="AD202" s="1" t="s">
        <v>31</v>
      </c>
      <c r="AE202" s="5"/>
    </row>
    <row r="203" ht="14.25" customHeight="1">
      <c r="A203" s="1" t="s">
        <v>33</v>
      </c>
      <c r="B203" s="1">
        <v>1.1000389E7</v>
      </c>
      <c r="C203" s="1" t="str">
        <f>VLOOKUP(B203,Equipment!A$1:J$575,9,0)</f>
        <v>E</v>
      </c>
      <c r="D203" s="1" t="s">
        <v>31</v>
      </c>
      <c r="E203" s="1" t="s">
        <v>3083</v>
      </c>
      <c r="F203" s="1" t="s">
        <v>60</v>
      </c>
      <c r="G203" s="1" t="s">
        <v>2844</v>
      </c>
      <c r="H203" s="1" t="s">
        <v>2795</v>
      </c>
      <c r="I203" s="1" t="s">
        <v>31</v>
      </c>
      <c r="J203" s="1" t="s">
        <v>3088</v>
      </c>
      <c r="K203" s="1" t="s">
        <v>73</v>
      </c>
      <c r="L203" s="1">
        <v>0.0</v>
      </c>
      <c r="M203" s="1" t="s">
        <v>2795</v>
      </c>
      <c r="N203" s="1" t="s">
        <v>3092</v>
      </c>
      <c r="O203" s="1" t="s">
        <v>68</v>
      </c>
      <c r="P203" s="1">
        <v>1041.0</v>
      </c>
      <c r="Q203" s="1" t="s">
        <v>2795</v>
      </c>
      <c r="R203" s="1" t="s">
        <v>3098</v>
      </c>
      <c r="S203" s="1" t="s">
        <v>2366</v>
      </c>
      <c r="T203" s="1" t="s">
        <v>3099</v>
      </c>
      <c r="U203" s="1" t="s">
        <v>71</v>
      </c>
      <c r="V203" s="1" t="s">
        <v>72</v>
      </c>
      <c r="W203" s="1" t="s">
        <v>31</v>
      </c>
      <c r="X203" s="1" t="s">
        <v>2795</v>
      </c>
      <c r="Y203" s="1" t="s">
        <v>3099</v>
      </c>
      <c r="Z203" s="1" t="s">
        <v>51</v>
      </c>
      <c r="AA203" s="1" t="s">
        <v>31</v>
      </c>
      <c r="AB203" s="1" t="s">
        <v>31</v>
      </c>
      <c r="AC203" s="1" t="s">
        <v>74</v>
      </c>
      <c r="AD203" s="1" t="s">
        <v>31</v>
      </c>
      <c r="AE203" s="5"/>
    </row>
    <row r="204" ht="14.25" customHeight="1">
      <c r="A204" s="1" t="s">
        <v>33</v>
      </c>
      <c r="B204" s="1">
        <v>1.1000389E7</v>
      </c>
      <c r="C204" s="1" t="str">
        <f>VLOOKUP(B204,Equipment!A$1:J$575,9,0)</f>
        <v>E</v>
      </c>
      <c r="D204" s="1" t="s">
        <v>31</v>
      </c>
      <c r="E204" s="1" t="s">
        <v>3107</v>
      </c>
      <c r="F204" s="1" t="s">
        <v>60</v>
      </c>
      <c r="G204" s="1" t="s">
        <v>2844</v>
      </c>
      <c r="H204" s="1" t="s">
        <v>2795</v>
      </c>
      <c r="I204" s="1" t="s">
        <v>31</v>
      </c>
      <c r="J204" s="1" t="s">
        <v>3109</v>
      </c>
      <c r="K204" s="1" t="s">
        <v>73</v>
      </c>
      <c r="L204" s="1">
        <v>0.0</v>
      </c>
      <c r="M204" s="1" t="s">
        <v>2795</v>
      </c>
      <c r="N204" s="1" t="s">
        <v>3109</v>
      </c>
      <c r="O204" s="1" t="s">
        <v>68</v>
      </c>
      <c r="P204" s="1">
        <v>1041.0</v>
      </c>
      <c r="Q204" s="1" t="s">
        <v>2795</v>
      </c>
      <c r="R204" s="1" t="s">
        <v>3110</v>
      </c>
      <c r="S204" s="1" t="s">
        <v>31</v>
      </c>
      <c r="T204" s="1" t="s">
        <v>73</v>
      </c>
      <c r="U204" s="1" t="s">
        <v>71</v>
      </c>
      <c r="V204" s="1" t="s">
        <v>72</v>
      </c>
      <c r="W204" s="1" t="s">
        <v>31</v>
      </c>
      <c r="X204" s="1" t="s">
        <v>2795</v>
      </c>
      <c r="Y204" s="1" t="s">
        <v>3112</v>
      </c>
      <c r="Z204" s="1" t="s">
        <v>51</v>
      </c>
      <c r="AA204" s="1" t="s">
        <v>31</v>
      </c>
      <c r="AB204" s="1" t="s">
        <v>31</v>
      </c>
      <c r="AC204" s="1" t="s">
        <v>74</v>
      </c>
      <c r="AD204" s="1" t="s">
        <v>31</v>
      </c>
      <c r="AE204" s="5"/>
    </row>
    <row r="205" ht="14.25" customHeight="1">
      <c r="A205" s="1" t="s">
        <v>33</v>
      </c>
      <c r="B205" s="1">
        <v>1.1000391E7</v>
      </c>
      <c r="C205" s="1" t="str">
        <f>VLOOKUP(B205,Equipment!A$1:J$575,9,0)</f>
        <v>#N/A</v>
      </c>
      <c r="D205" s="1" t="s">
        <v>3121</v>
      </c>
      <c r="E205" s="1" t="s">
        <v>3122</v>
      </c>
      <c r="F205" s="1" t="s">
        <v>3123</v>
      </c>
      <c r="G205" s="1" t="s">
        <v>3124</v>
      </c>
      <c r="H205" s="1" t="s">
        <v>2795</v>
      </c>
      <c r="I205" s="1" t="s">
        <v>2795</v>
      </c>
      <c r="J205" s="1" t="s">
        <v>271</v>
      </c>
      <c r="K205" s="1" t="s">
        <v>3127</v>
      </c>
      <c r="L205" s="1">
        <v>1.0</v>
      </c>
      <c r="M205" s="1" t="s">
        <v>2795</v>
      </c>
      <c r="N205" s="1" t="s">
        <v>3129</v>
      </c>
      <c r="O205" s="1" t="s">
        <v>68</v>
      </c>
      <c r="P205" s="1">
        <v>1041.0</v>
      </c>
      <c r="Q205" s="1" t="s">
        <v>2795</v>
      </c>
      <c r="R205" s="1" t="s">
        <v>3127</v>
      </c>
      <c r="S205" s="1" t="s">
        <v>2366</v>
      </c>
      <c r="T205" s="1" t="s">
        <v>3131</v>
      </c>
      <c r="U205" s="1" t="s">
        <v>71</v>
      </c>
      <c r="V205" s="1" t="s">
        <v>72</v>
      </c>
      <c r="W205" s="1" t="s">
        <v>31</v>
      </c>
      <c r="X205" s="1" t="s">
        <v>2795</v>
      </c>
      <c r="Y205" s="1" t="s">
        <v>3131</v>
      </c>
      <c r="Z205" s="1" t="s">
        <v>51</v>
      </c>
      <c r="AA205" s="1" t="s">
        <v>31</v>
      </c>
      <c r="AB205" s="1" t="s">
        <v>31</v>
      </c>
      <c r="AC205" s="1" t="s">
        <v>74</v>
      </c>
      <c r="AD205" s="1" t="s">
        <v>31</v>
      </c>
      <c r="AE205" s="5"/>
    </row>
    <row r="206" ht="14.25" customHeight="1">
      <c r="A206" s="1" t="s">
        <v>33</v>
      </c>
      <c r="B206" s="1">
        <v>1.1000454E7</v>
      </c>
      <c r="C206" s="1" t="str">
        <f>VLOOKUP(B206,Equipment!A$1:J$575,9,0)</f>
        <v>E</v>
      </c>
      <c r="D206" s="1" t="s">
        <v>3136</v>
      </c>
      <c r="E206" s="1" t="s">
        <v>3140</v>
      </c>
      <c r="F206" s="1" t="s">
        <v>294</v>
      </c>
      <c r="G206" s="1" t="s">
        <v>3141</v>
      </c>
      <c r="H206" s="1" t="s">
        <v>2795</v>
      </c>
      <c r="I206" s="1" t="s">
        <v>2795</v>
      </c>
      <c r="J206" s="1" t="s">
        <v>3142</v>
      </c>
      <c r="K206" s="1" t="s">
        <v>3143</v>
      </c>
      <c r="L206" s="1">
        <v>0.5</v>
      </c>
      <c r="M206" s="1" t="s">
        <v>2795</v>
      </c>
      <c r="N206" s="1" t="s">
        <v>3144</v>
      </c>
      <c r="O206" s="1" t="s">
        <v>68</v>
      </c>
      <c r="P206" s="1">
        <v>1041.0</v>
      </c>
      <c r="Q206" s="1" t="s">
        <v>2795</v>
      </c>
      <c r="R206" s="1" t="s">
        <v>3143</v>
      </c>
      <c r="S206" s="1" t="s">
        <v>1027</v>
      </c>
      <c r="T206" s="1" t="s">
        <v>3145</v>
      </c>
      <c r="U206" s="1" t="s">
        <v>71</v>
      </c>
      <c r="V206" s="1" t="s">
        <v>72</v>
      </c>
      <c r="W206" s="1" t="s">
        <v>31</v>
      </c>
      <c r="X206" s="1" t="s">
        <v>31</v>
      </c>
      <c r="Y206" s="1" t="s">
        <v>73</v>
      </c>
      <c r="Z206" s="1" t="s">
        <v>51</v>
      </c>
      <c r="AA206" s="1" t="s">
        <v>31</v>
      </c>
      <c r="AB206" s="1" t="s">
        <v>31</v>
      </c>
      <c r="AC206" s="1" t="s">
        <v>74</v>
      </c>
      <c r="AD206" s="1" t="s">
        <v>31</v>
      </c>
      <c r="AE206" s="5"/>
    </row>
    <row r="207" ht="14.25" customHeight="1">
      <c r="A207" s="1" t="s">
        <v>33</v>
      </c>
      <c r="B207" s="1">
        <v>1.1000485E7</v>
      </c>
      <c r="C207" s="1" t="str">
        <f>VLOOKUP(B207,Equipment!A$1:J$575,9,0)</f>
        <v>E</v>
      </c>
      <c r="D207" s="1" t="s">
        <v>31</v>
      </c>
      <c r="E207" s="1" t="s">
        <v>3154</v>
      </c>
      <c r="F207" s="1" t="s">
        <v>849</v>
      </c>
      <c r="G207" s="1" t="s">
        <v>3155</v>
      </c>
      <c r="H207" s="1" t="s">
        <v>2795</v>
      </c>
      <c r="I207" s="1" t="s">
        <v>31</v>
      </c>
      <c r="J207" s="1" t="s">
        <v>3156</v>
      </c>
      <c r="K207" s="1" t="s">
        <v>73</v>
      </c>
      <c r="L207" s="1">
        <v>0.0</v>
      </c>
      <c r="M207" s="1" t="s">
        <v>2795</v>
      </c>
      <c r="N207" s="1" t="s">
        <v>3156</v>
      </c>
      <c r="O207" s="1" t="s">
        <v>68</v>
      </c>
      <c r="P207" s="1">
        <v>1041.0</v>
      </c>
      <c r="Q207" s="1" t="s">
        <v>2795</v>
      </c>
      <c r="R207" s="1" t="s">
        <v>3157</v>
      </c>
      <c r="S207" s="1" t="s">
        <v>1027</v>
      </c>
      <c r="T207" s="1" t="s">
        <v>3159</v>
      </c>
      <c r="U207" s="1" t="s">
        <v>71</v>
      </c>
      <c r="V207" s="1" t="s">
        <v>72</v>
      </c>
      <c r="W207" s="1" t="s">
        <v>31</v>
      </c>
      <c r="X207" s="1" t="s">
        <v>31</v>
      </c>
      <c r="Y207" s="1" t="s">
        <v>73</v>
      </c>
      <c r="Z207" s="1" t="s">
        <v>51</v>
      </c>
      <c r="AA207" s="1" t="s">
        <v>31</v>
      </c>
      <c r="AB207" s="1" t="s">
        <v>31</v>
      </c>
      <c r="AC207" s="1" t="s">
        <v>74</v>
      </c>
      <c r="AD207" s="1" t="s">
        <v>31</v>
      </c>
      <c r="AE207" s="5"/>
    </row>
    <row r="208" ht="14.25" customHeight="1">
      <c r="A208" s="1" t="s">
        <v>33</v>
      </c>
      <c r="B208" s="1">
        <v>1.1000511E7</v>
      </c>
      <c r="C208" s="1" t="str">
        <f>VLOOKUP(B208,Equipment!A$1:J$575,9,0)</f>
        <v>E</v>
      </c>
      <c r="D208" s="1" t="s">
        <v>3171</v>
      </c>
      <c r="E208" s="1" t="s">
        <v>3172</v>
      </c>
      <c r="F208" s="1" t="s">
        <v>1095</v>
      </c>
      <c r="G208" s="1" t="s">
        <v>3173</v>
      </c>
      <c r="H208" s="1" t="s">
        <v>2795</v>
      </c>
      <c r="I208" s="1" t="s">
        <v>31</v>
      </c>
      <c r="J208" s="1" t="s">
        <v>3174</v>
      </c>
      <c r="K208" s="1" t="s">
        <v>73</v>
      </c>
      <c r="L208" s="1">
        <v>0.0</v>
      </c>
      <c r="M208" s="1" t="s">
        <v>2795</v>
      </c>
      <c r="N208" s="1" t="s">
        <v>3174</v>
      </c>
      <c r="O208" s="1" t="s">
        <v>121</v>
      </c>
      <c r="P208" s="1">
        <v>1041.0</v>
      </c>
      <c r="Q208" s="1" t="s">
        <v>2795</v>
      </c>
      <c r="R208" s="1" t="s">
        <v>3175</v>
      </c>
      <c r="S208" s="1" t="s">
        <v>1027</v>
      </c>
      <c r="T208" s="1" t="s">
        <v>3176</v>
      </c>
      <c r="U208" s="1" t="s">
        <v>71</v>
      </c>
      <c r="V208" s="1" t="s">
        <v>72</v>
      </c>
      <c r="W208" s="1" t="s">
        <v>31</v>
      </c>
      <c r="X208" s="1" t="s">
        <v>31</v>
      </c>
      <c r="Y208" s="1" t="s">
        <v>73</v>
      </c>
      <c r="Z208" s="1" t="s">
        <v>51</v>
      </c>
      <c r="AA208" s="1" t="s">
        <v>31</v>
      </c>
      <c r="AB208" s="1" t="s">
        <v>31</v>
      </c>
      <c r="AC208" s="1" t="s">
        <v>656</v>
      </c>
      <c r="AD208" s="1" t="s">
        <v>31</v>
      </c>
      <c r="AE208" s="5"/>
    </row>
    <row r="209" ht="14.25" customHeight="1">
      <c r="A209" s="1" t="s">
        <v>33</v>
      </c>
      <c r="B209" s="1">
        <v>1.1000511E7</v>
      </c>
      <c r="C209" s="1" t="str">
        <f>VLOOKUP(B209,Equipment!A$1:J$575,9,0)</f>
        <v>E</v>
      </c>
      <c r="D209" s="1" t="s">
        <v>3186</v>
      </c>
      <c r="E209" s="1" t="s">
        <v>3187</v>
      </c>
      <c r="F209" s="1" t="s">
        <v>1095</v>
      </c>
      <c r="G209" s="1" t="s">
        <v>3188</v>
      </c>
      <c r="H209" s="1" t="s">
        <v>2795</v>
      </c>
      <c r="I209" s="1" t="s">
        <v>2795</v>
      </c>
      <c r="J209" s="1" t="s">
        <v>935</v>
      </c>
      <c r="K209" s="1" t="s">
        <v>3189</v>
      </c>
      <c r="L209" s="1">
        <v>2.5</v>
      </c>
      <c r="M209" s="1" t="s">
        <v>2795</v>
      </c>
      <c r="N209" s="1" t="s">
        <v>3192</v>
      </c>
      <c r="O209" s="1" t="s">
        <v>121</v>
      </c>
      <c r="P209" s="1">
        <v>1041.0</v>
      </c>
      <c r="Q209" s="1" t="s">
        <v>2795</v>
      </c>
      <c r="R209" s="1" t="s">
        <v>3189</v>
      </c>
      <c r="S209" s="1" t="s">
        <v>1027</v>
      </c>
      <c r="T209" s="1" t="s">
        <v>3195</v>
      </c>
      <c r="U209" s="1" t="s">
        <v>71</v>
      </c>
      <c r="V209" s="1" t="s">
        <v>72</v>
      </c>
      <c r="W209" s="1" t="s">
        <v>31</v>
      </c>
      <c r="X209" s="1" t="s">
        <v>2795</v>
      </c>
      <c r="Y209" s="1" t="s">
        <v>3195</v>
      </c>
      <c r="Z209" s="1" t="s">
        <v>51</v>
      </c>
      <c r="AA209" s="1" t="s">
        <v>31</v>
      </c>
      <c r="AB209" s="1" t="s">
        <v>31</v>
      </c>
      <c r="AC209" s="1" t="s">
        <v>656</v>
      </c>
      <c r="AD209" s="1" t="s">
        <v>31</v>
      </c>
      <c r="AE209" s="5"/>
    </row>
    <row r="210" ht="14.25" customHeight="1">
      <c r="A210" s="1" t="s">
        <v>33</v>
      </c>
      <c r="B210" s="1">
        <v>1.1000767E7</v>
      </c>
      <c r="C210" s="1" t="str">
        <f>VLOOKUP(B210,Equipment!A$1:J$575,9,0)</f>
        <v>#N/A</v>
      </c>
      <c r="D210" s="1" t="s">
        <v>31</v>
      </c>
      <c r="E210" s="1" t="s">
        <v>3199</v>
      </c>
      <c r="F210" s="1" t="s">
        <v>3200</v>
      </c>
      <c r="G210" s="1" t="s">
        <v>3201</v>
      </c>
      <c r="H210" s="1" t="s">
        <v>2795</v>
      </c>
      <c r="I210" s="1" t="s">
        <v>31</v>
      </c>
      <c r="J210" s="1" t="s">
        <v>3203</v>
      </c>
      <c r="K210" s="1" t="s">
        <v>73</v>
      </c>
      <c r="L210" s="1">
        <v>0.0</v>
      </c>
      <c r="M210" s="1" t="s">
        <v>2795</v>
      </c>
      <c r="N210" s="1" t="s">
        <v>3203</v>
      </c>
      <c r="O210" s="1" t="s">
        <v>3204</v>
      </c>
      <c r="P210" s="1">
        <v>1041.0</v>
      </c>
      <c r="Q210" s="1" t="s">
        <v>2795</v>
      </c>
      <c r="R210" s="1" t="s">
        <v>3206</v>
      </c>
      <c r="S210" s="1" t="s">
        <v>31</v>
      </c>
      <c r="T210" s="1" t="s">
        <v>73</v>
      </c>
      <c r="U210" s="1" t="s">
        <v>71</v>
      </c>
      <c r="V210" s="1" t="s">
        <v>72</v>
      </c>
      <c r="W210" s="1" t="s">
        <v>31</v>
      </c>
      <c r="X210" s="1" t="s">
        <v>2795</v>
      </c>
      <c r="Y210" s="1" t="s">
        <v>3203</v>
      </c>
      <c r="Z210" s="1" t="s">
        <v>51</v>
      </c>
      <c r="AA210" s="1" t="s">
        <v>31</v>
      </c>
      <c r="AB210" s="1" t="s">
        <v>31</v>
      </c>
      <c r="AC210" s="1" t="s">
        <v>3208</v>
      </c>
      <c r="AD210" s="1" t="s">
        <v>31</v>
      </c>
      <c r="AE210" s="5"/>
    </row>
    <row r="211" ht="14.25" customHeight="1">
      <c r="A211" s="1" t="s">
        <v>33</v>
      </c>
      <c r="B211" s="1">
        <v>1.1000303E7</v>
      </c>
      <c r="C211" s="1" t="str">
        <f>VLOOKUP(B211,Equipment!A$1:J$575,9,0)</f>
        <v>E</v>
      </c>
      <c r="D211" s="1" t="s">
        <v>3212</v>
      </c>
      <c r="E211" s="1" t="s">
        <v>3214</v>
      </c>
      <c r="F211" s="1" t="s">
        <v>621</v>
      </c>
      <c r="G211" s="1" t="s">
        <v>3216</v>
      </c>
      <c r="H211" s="1" t="s">
        <v>2795</v>
      </c>
      <c r="I211" s="1" t="s">
        <v>1027</v>
      </c>
      <c r="J211" s="1" t="s">
        <v>3218</v>
      </c>
      <c r="K211" s="1" t="s">
        <v>3219</v>
      </c>
      <c r="L211" s="1">
        <v>22.4</v>
      </c>
      <c r="M211" s="1" t="s">
        <v>2795</v>
      </c>
      <c r="N211" s="1" t="s">
        <v>3218</v>
      </c>
      <c r="O211" s="1" t="s">
        <v>1176</v>
      </c>
      <c r="P211" s="1">
        <v>2001.0</v>
      </c>
      <c r="Q211" s="1" t="s">
        <v>1027</v>
      </c>
      <c r="R211" s="1" t="s">
        <v>3219</v>
      </c>
      <c r="S211" s="1" t="s">
        <v>31</v>
      </c>
      <c r="T211" s="1" t="s">
        <v>73</v>
      </c>
      <c r="U211" s="1" t="s">
        <v>71</v>
      </c>
      <c r="V211" s="1" t="s">
        <v>72</v>
      </c>
      <c r="W211" s="1" t="s">
        <v>31</v>
      </c>
      <c r="X211" s="1" t="s">
        <v>2795</v>
      </c>
      <c r="Y211" s="1" t="s">
        <v>3218</v>
      </c>
      <c r="Z211" s="1" t="s">
        <v>51</v>
      </c>
      <c r="AA211" s="1" t="s">
        <v>31</v>
      </c>
      <c r="AB211" s="1" t="s">
        <v>31</v>
      </c>
      <c r="AC211" s="1" t="s">
        <v>1179</v>
      </c>
      <c r="AD211" s="1" t="s">
        <v>31</v>
      </c>
      <c r="AE211" s="5"/>
    </row>
    <row r="212" ht="14.25" customHeight="1">
      <c r="A212" s="1" t="s">
        <v>33</v>
      </c>
      <c r="B212" s="1">
        <v>1.1000322E7</v>
      </c>
      <c r="C212" s="1" t="str">
        <f>VLOOKUP(B212,Equipment!A$1:J$575,9,0)</f>
        <v>E</v>
      </c>
      <c r="D212" s="1" t="s">
        <v>3222</v>
      </c>
      <c r="E212" s="1" t="s">
        <v>3223</v>
      </c>
      <c r="F212" s="1" t="s">
        <v>127</v>
      </c>
      <c r="G212" s="1" t="s">
        <v>3224</v>
      </c>
      <c r="H212" s="1" t="s">
        <v>2795</v>
      </c>
      <c r="I212" s="1" t="s">
        <v>2795</v>
      </c>
      <c r="J212" s="1" t="s">
        <v>3226</v>
      </c>
      <c r="K212" s="1" t="s">
        <v>3227</v>
      </c>
      <c r="L212" s="1">
        <v>0.92</v>
      </c>
      <c r="M212" s="1" t="s">
        <v>2795</v>
      </c>
      <c r="N212" s="1" t="s">
        <v>3226</v>
      </c>
      <c r="O212" s="1" t="s">
        <v>131</v>
      </c>
      <c r="P212" s="1">
        <v>2001.0</v>
      </c>
      <c r="Q212" s="1" t="s">
        <v>2795</v>
      </c>
      <c r="R212" s="1" t="s">
        <v>3227</v>
      </c>
      <c r="S212" s="1" t="s">
        <v>2795</v>
      </c>
      <c r="T212" s="1" t="s">
        <v>3227</v>
      </c>
      <c r="U212" s="1" t="s">
        <v>71</v>
      </c>
      <c r="V212" s="1" t="s">
        <v>72</v>
      </c>
      <c r="W212" s="1" t="s">
        <v>31</v>
      </c>
      <c r="X212" s="1" t="s">
        <v>2795</v>
      </c>
      <c r="Y212" s="1" t="s">
        <v>3226</v>
      </c>
      <c r="Z212" s="1" t="s">
        <v>51</v>
      </c>
      <c r="AA212" s="1" t="s">
        <v>31</v>
      </c>
      <c r="AB212" s="1" t="s">
        <v>31</v>
      </c>
      <c r="AC212" s="1" t="s">
        <v>137</v>
      </c>
      <c r="AD212" s="1" t="s">
        <v>31</v>
      </c>
      <c r="AE212" s="5"/>
    </row>
    <row r="213" ht="14.25" customHeight="1">
      <c r="A213" s="1" t="s">
        <v>33</v>
      </c>
      <c r="B213" s="1">
        <v>1.1001295E7</v>
      </c>
      <c r="C213" s="1" t="str">
        <f>VLOOKUP(B213,Equipment!A$1:J$575,9,0)</f>
        <v>E</v>
      </c>
      <c r="D213" s="1" t="s">
        <v>3231</v>
      </c>
      <c r="E213" s="1" t="s">
        <v>3232</v>
      </c>
      <c r="F213" s="1" t="s">
        <v>2708</v>
      </c>
      <c r="G213" s="1" t="s">
        <v>3233</v>
      </c>
      <c r="H213" s="1" t="s">
        <v>2660</v>
      </c>
      <c r="I213" s="1" t="s">
        <v>2660</v>
      </c>
      <c r="J213" s="1" t="s">
        <v>1476</v>
      </c>
      <c r="K213" s="1" t="s">
        <v>3235</v>
      </c>
      <c r="L213" s="1">
        <v>2.25</v>
      </c>
      <c r="M213" s="1" t="s">
        <v>2660</v>
      </c>
      <c r="N213" s="1" t="s">
        <v>1476</v>
      </c>
      <c r="O213" s="1" t="s">
        <v>223</v>
      </c>
      <c r="P213" s="1">
        <v>1031.0</v>
      </c>
      <c r="Q213" s="1" t="s">
        <v>2660</v>
      </c>
      <c r="R213" s="1" t="s">
        <v>3235</v>
      </c>
      <c r="S213" s="1" t="s">
        <v>2660</v>
      </c>
      <c r="T213" s="1" t="s">
        <v>3238</v>
      </c>
      <c r="U213" s="1" t="s">
        <v>71</v>
      </c>
      <c r="V213" s="1" t="s">
        <v>72</v>
      </c>
      <c r="W213" s="1" t="s">
        <v>31</v>
      </c>
      <c r="X213" s="1" t="s">
        <v>2660</v>
      </c>
      <c r="Y213" s="1" t="s">
        <v>1476</v>
      </c>
      <c r="Z213" s="1" t="s">
        <v>51</v>
      </c>
      <c r="AA213" s="1" t="s">
        <v>31</v>
      </c>
      <c r="AB213" s="1" t="s">
        <v>31</v>
      </c>
      <c r="AC213" s="1" t="s">
        <v>227</v>
      </c>
      <c r="AD213" s="1" t="s">
        <v>31</v>
      </c>
      <c r="AE213" s="5"/>
    </row>
    <row r="214" ht="14.25" customHeight="1">
      <c r="A214" s="1" t="s">
        <v>33</v>
      </c>
      <c r="B214" s="1">
        <v>1.1000377E7</v>
      </c>
      <c r="C214" s="1" t="str">
        <f>VLOOKUP(B214,Equipment!A$1:J$575,9,0)</f>
        <v>E</v>
      </c>
      <c r="D214" s="1" t="s">
        <v>3240</v>
      </c>
      <c r="E214" s="1" t="s">
        <v>3241</v>
      </c>
      <c r="F214" s="1" t="s">
        <v>825</v>
      </c>
      <c r="G214" s="1" t="s">
        <v>3243</v>
      </c>
      <c r="H214" s="1" t="s">
        <v>2660</v>
      </c>
      <c r="I214" s="1" t="s">
        <v>2660</v>
      </c>
      <c r="J214" s="1" t="s">
        <v>1175</v>
      </c>
      <c r="K214" s="1" t="s">
        <v>3244</v>
      </c>
      <c r="L214" s="1">
        <v>1.0</v>
      </c>
      <c r="M214" s="1" t="s">
        <v>2660</v>
      </c>
      <c r="N214" s="1" t="s">
        <v>3245</v>
      </c>
      <c r="O214" s="1" t="s">
        <v>68</v>
      </c>
      <c r="P214" s="1">
        <v>1041.0</v>
      </c>
      <c r="Q214" s="1" t="s">
        <v>2660</v>
      </c>
      <c r="R214" s="1" t="s">
        <v>3244</v>
      </c>
      <c r="S214" s="1" t="s">
        <v>2685</v>
      </c>
      <c r="T214" s="1" t="s">
        <v>3246</v>
      </c>
      <c r="U214" s="1" t="s">
        <v>71</v>
      </c>
      <c r="V214" s="1" t="s">
        <v>72</v>
      </c>
      <c r="W214" s="1" t="s">
        <v>31</v>
      </c>
      <c r="X214" s="1" t="s">
        <v>2660</v>
      </c>
      <c r="Y214" s="1" t="s">
        <v>3246</v>
      </c>
      <c r="Z214" s="1" t="s">
        <v>51</v>
      </c>
      <c r="AA214" s="1" t="s">
        <v>31</v>
      </c>
      <c r="AB214" s="1" t="s">
        <v>31</v>
      </c>
      <c r="AC214" s="1" t="s">
        <v>74</v>
      </c>
      <c r="AD214" s="1" t="s">
        <v>31</v>
      </c>
      <c r="AE214" s="5"/>
    </row>
    <row r="215" ht="14.25" customHeight="1">
      <c r="A215" s="1" t="s">
        <v>33</v>
      </c>
      <c r="B215" s="1">
        <v>1.1000378E7</v>
      </c>
      <c r="C215" s="1" t="str">
        <f>VLOOKUP(B215,Equipment!A$1:J$575,9,0)</f>
        <v>E</v>
      </c>
      <c r="D215" s="1" t="s">
        <v>31</v>
      </c>
      <c r="E215" s="1" t="s">
        <v>3250</v>
      </c>
      <c r="F215" s="1" t="s">
        <v>833</v>
      </c>
      <c r="G215" s="1" t="s">
        <v>387</v>
      </c>
      <c r="H215" s="1" t="s">
        <v>2660</v>
      </c>
      <c r="I215" s="1" t="s">
        <v>31</v>
      </c>
      <c r="J215" s="1" t="s">
        <v>3254</v>
      </c>
      <c r="K215" s="1" t="s">
        <v>73</v>
      </c>
      <c r="L215" s="1">
        <v>0.0</v>
      </c>
      <c r="M215" s="1" t="s">
        <v>2660</v>
      </c>
      <c r="N215" s="1" t="s">
        <v>3254</v>
      </c>
      <c r="O215" s="1" t="s">
        <v>68</v>
      </c>
      <c r="P215" s="1">
        <v>1041.0</v>
      </c>
      <c r="Q215" s="1" t="s">
        <v>2660</v>
      </c>
      <c r="R215" s="1" t="s">
        <v>3257</v>
      </c>
      <c r="S215" s="1" t="s">
        <v>2685</v>
      </c>
      <c r="T215" s="1" t="s">
        <v>3258</v>
      </c>
      <c r="U215" s="1" t="s">
        <v>71</v>
      </c>
      <c r="V215" s="1" t="s">
        <v>72</v>
      </c>
      <c r="W215" s="1" t="s">
        <v>31</v>
      </c>
      <c r="X215" s="1" t="s">
        <v>31</v>
      </c>
      <c r="Y215" s="1" t="s">
        <v>73</v>
      </c>
      <c r="Z215" s="1" t="s">
        <v>51</v>
      </c>
      <c r="AA215" s="1" t="s">
        <v>31</v>
      </c>
      <c r="AB215" s="1" t="s">
        <v>31</v>
      </c>
      <c r="AC215" s="1" t="s">
        <v>74</v>
      </c>
      <c r="AD215" s="1" t="s">
        <v>31</v>
      </c>
      <c r="AE215" s="5"/>
    </row>
    <row r="216" ht="14.25" customHeight="1">
      <c r="A216" s="1" t="s">
        <v>33</v>
      </c>
      <c r="B216" s="1">
        <v>1.1000378E7</v>
      </c>
      <c r="C216" s="1" t="str">
        <f>VLOOKUP(B216,Equipment!A$1:J$575,9,0)</f>
        <v>E</v>
      </c>
      <c r="D216" s="1" t="s">
        <v>3264</v>
      </c>
      <c r="E216" s="1" t="s">
        <v>3265</v>
      </c>
      <c r="F216" s="1" t="s">
        <v>833</v>
      </c>
      <c r="G216" s="1" t="s">
        <v>3266</v>
      </c>
      <c r="H216" s="1" t="s">
        <v>2660</v>
      </c>
      <c r="I216" s="1" t="s">
        <v>2660</v>
      </c>
      <c r="J216" s="1" t="s">
        <v>500</v>
      </c>
      <c r="K216" s="1" t="s">
        <v>3267</v>
      </c>
      <c r="L216" s="1">
        <v>0.5</v>
      </c>
      <c r="M216" s="1" t="s">
        <v>2660</v>
      </c>
      <c r="N216" s="1" t="s">
        <v>3268</v>
      </c>
      <c r="O216" s="1" t="s">
        <v>68</v>
      </c>
      <c r="P216" s="1">
        <v>1041.0</v>
      </c>
      <c r="Q216" s="1" t="s">
        <v>2660</v>
      </c>
      <c r="R216" s="1" t="s">
        <v>3267</v>
      </c>
      <c r="S216" s="1" t="s">
        <v>2685</v>
      </c>
      <c r="T216" s="1" t="s">
        <v>3269</v>
      </c>
      <c r="U216" s="1" t="s">
        <v>71</v>
      </c>
      <c r="V216" s="1" t="s">
        <v>72</v>
      </c>
      <c r="W216" s="1" t="s">
        <v>31</v>
      </c>
      <c r="X216" s="1" t="s">
        <v>31</v>
      </c>
      <c r="Y216" s="1" t="s">
        <v>73</v>
      </c>
      <c r="Z216" s="1" t="s">
        <v>51</v>
      </c>
      <c r="AA216" s="1" t="s">
        <v>31</v>
      </c>
      <c r="AB216" s="1" t="s">
        <v>31</v>
      </c>
      <c r="AC216" s="1" t="s">
        <v>74</v>
      </c>
      <c r="AD216" s="1" t="s">
        <v>31</v>
      </c>
      <c r="AE216" s="5"/>
    </row>
    <row r="217" ht="14.25" customHeight="1">
      <c r="A217" s="1" t="s">
        <v>33</v>
      </c>
      <c r="B217" s="1">
        <v>1.1000379E7</v>
      </c>
      <c r="C217" s="1" t="str">
        <f>VLOOKUP(B217,Equipment!A$1:J$575,9,0)</f>
        <v>E</v>
      </c>
      <c r="D217" s="1" t="s">
        <v>3276</v>
      </c>
      <c r="E217" s="1" t="s">
        <v>3277</v>
      </c>
      <c r="F217" s="1" t="s">
        <v>386</v>
      </c>
      <c r="G217" s="1" t="s">
        <v>387</v>
      </c>
      <c r="H217" s="1" t="s">
        <v>2660</v>
      </c>
      <c r="I217" s="1" t="s">
        <v>1027</v>
      </c>
      <c r="J217" s="1" t="s">
        <v>3279</v>
      </c>
      <c r="K217" s="1" t="s">
        <v>3280</v>
      </c>
      <c r="L217" s="1">
        <v>0.75</v>
      </c>
      <c r="M217" s="1" t="s">
        <v>2660</v>
      </c>
      <c r="N217" s="1" t="s">
        <v>3279</v>
      </c>
      <c r="O217" s="1" t="s">
        <v>68</v>
      </c>
      <c r="P217" s="1">
        <v>1041.0</v>
      </c>
      <c r="Q217" s="1" t="s">
        <v>1027</v>
      </c>
      <c r="R217" s="1" t="s">
        <v>3280</v>
      </c>
      <c r="S217" s="1" t="s">
        <v>2795</v>
      </c>
      <c r="T217" s="1" t="s">
        <v>3286</v>
      </c>
      <c r="U217" s="1" t="s">
        <v>71</v>
      </c>
      <c r="V217" s="1" t="s">
        <v>72</v>
      </c>
      <c r="W217" s="1" t="s">
        <v>31</v>
      </c>
      <c r="X217" s="1" t="s">
        <v>31</v>
      </c>
      <c r="Y217" s="1" t="s">
        <v>73</v>
      </c>
      <c r="Z217" s="1" t="s">
        <v>51</v>
      </c>
      <c r="AA217" s="1" t="s">
        <v>31</v>
      </c>
      <c r="AB217" s="1" t="s">
        <v>31</v>
      </c>
      <c r="AC217" s="1" t="s">
        <v>74</v>
      </c>
      <c r="AD217" s="1" t="s">
        <v>31</v>
      </c>
      <c r="AE217" s="5"/>
    </row>
    <row r="218" ht="14.25" customHeight="1">
      <c r="A218" s="1" t="s">
        <v>33</v>
      </c>
      <c r="B218" s="1">
        <v>1.100038E7</v>
      </c>
      <c r="C218" s="1" t="str">
        <f>VLOOKUP(B218,Equipment!A$1:J$575,9,0)</f>
        <v>E</v>
      </c>
      <c r="D218" s="1" t="s">
        <v>3292</v>
      </c>
      <c r="E218" s="1" t="s">
        <v>3293</v>
      </c>
      <c r="F218" s="1" t="s">
        <v>545</v>
      </c>
      <c r="G218" s="1" t="s">
        <v>3294</v>
      </c>
      <c r="H218" s="1" t="s">
        <v>2660</v>
      </c>
      <c r="I218" s="1" t="s">
        <v>2660</v>
      </c>
      <c r="J218" s="1" t="s">
        <v>3295</v>
      </c>
      <c r="K218" s="1" t="s">
        <v>3296</v>
      </c>
      <c r="L218" s="1">
        <v>1.58</v>
      </c>
      <c r="M218" s="1" t="s">
        <v>2660</v>
      </c>
      <c r="N218" s="1" t="s">
        <v>3297</v>
      </c>
      <c r="O218" s="1" t="s">
        <v>68</v>
      </c>
      <c r="P218" s="1">
        <v>1041.0</v>
      </c>
      <c r="Q218" s="1" t="s">
        <v>2660</v>
      </c>
      <c r="R218" s="1" t="s">
        <v>3296</v>
      </c>
      <c r="S218" s="1" t="s">
        <v>2795</v>
      </c>
      <c r="T218" s="1" t="s">
        <v>3299</v>
      </c>
      <c r="U218" s="1" t="s">
        <v>71</v>
      </c>
      <c r="V218" s="1" t="s">
        <v>72</v>
      </c>
      <c r="W218" s="1" t="s">
        <v>31</v>
      </c>
      <c r="X218" s="1" t="s">
        <v>31</v>
      </c>
      <c r="Y218" s="1" t="s">
        <v>73</v>
      </c>
      <c r="Z218" s="1" t="s">
        <v>51</v>
      </c>
      <c r="AA218" s="1" t="s">
        <v>31</v>
      </c>
      <c r="AB218" s="1" t="s">
        <v>31</v>
      </c>
      <c r="AC218" s="1" t="s">
        <v>74</v>
      </c>
      <c r="AD218" s="1" t="s">
        <v>31</v>
      </c>
      <c r="AE218" s="5"/>
    </row>
    <row r="219" ht="14.25" customHeight="1">
      <c r="A219" s="1" t="s">
        <v>33</v>
      </c>
      <c r="B219" s="1">
        <v>1.1000382E7</v>
      </c>
      <c r="C219" s="1" t="str">
        <f>VLOOKUP(B219,Equipment!A$1:J$575,9,0)</f>
        <v>E</v>
      </c>
      <c r="D219" s="1" t="s">
        <v>3305</v>
      </c>
      <c r="E219" s="1" t="s">
        <v>3306</v>
      </c>
      <c r="F219" s="1" t="s">
        <v>559</v>
      </c>
      <c r="G219" s="1" t="s">
        <v>3308</v>
      </c>
      <c r="H219" s="1" t="s">
        <v>2660</v>
      </c>
      <c r="I219" s="1" t="s">
        <v>1027</v>
      </c>
      <c r="J219" s="1" t="s">
        <v>3309</v>
      </c>
      <c r="K219" s="1" t="s">
        <v>3310</v>
      </c>
      <c r="L219" s="1">
        <v>0.73</v>
      </c>
      <c r="M219" s="1" t="s">
        <v>2660</v>
      </c>
      <c r="N219" s="1" t="s">
        <v>3311</v>
      </c>
      <c r="O219" s="1" t="s">
        <v>68</v>
      </c>
      <c r="P219" s="1">
        <v>1041.0</v>
      </c>
      <c r="Q219" s="1" t="s">
        <v>1027</v>
      </c>
      <c r="R219" s="1" t="s">
        <v>3310</v>
      </c>
      <c r="S219" s="1" t="s">
        <v>2685</v>
      </c>
      <c r="T219" s="1" t="s">
        <v>3312</v>
      </c>
      <c r="U219" s="1" t="s">
        <v>71</v>
      </c>
      <c r="V219" s="1" t="s">
        <v>72</v>
      </c>
      <c r="W219" s="1" t="s">
        <v>31</v>
      </c>
      <c r="X219" s="1" t="s">
        <v>31</v>
      </c>
      <c r="Y219" s="1" t="s">
        <v>73</v>
      </c>
      <c r="Z219" s="1" t="s">
        <v>51</v>
      </c>
      <c r="AA219" s="1" t="s">
        <v>31</v>
      </c>
      <c r="AB219" s="1" t="s">
        <v>31</v>
      </c>
      <c r="AC219" s="1" t="s">
        <v>74</v>
      </c>
      <c r="AD219" s="1" t="s">
        <v>31</v>
      </c>
      <c r="AE219" s="5"/>
    </row>
    <row r="220" ht="14.25" customHeight="1">
      <c r="A220" s="1" t="s">
        <v>33</v>
      </c>
      <c r="B220" s="1">
        <v>1.1000387E7</v>
      </c>
      <c r="C220" s="1" t="str">
        <f>VLOOKUP(B220,Equipment!A$1:J$575,9,0)</f>
        <v>#N/A</v>
      </c>
      <c r="D220" s="1" t="s">
        <v>3317</v>
      </c>
      <c r="E220" s="1" t="s">
        <v>3319</v>
      </c>
      <c r="F220" s="1" t="s">
        <v>255</v>
      </c>
      <c r="G220" s="1" t="s">
        <v>3320</v>
      </c>
      <c r="H220" s="1" t="s">
        <v>2660</v>
      </c>
      <c r="I220" s="1" t="s">
        <v>2660</v>
      </c>
      <c r="J220" s="1" t="s">
        <v>1352</v>
      </c>
      <c r="K220" s="1" t="s">
        <v>3322</v>
      </c>
      <c r="L220" s="1">
        <v>0.67</v>
      </c>
      <c r="M220" s="1" t="s">
        <v>2660</v>
      </c>
      <c r="N220" s="1" t="s">
        <v>3323</v>
      </c>
      <c r="O220" s="1" t="s">
        <v>68</v>
      </c>
      <c r="P220" s="1">
        <v>1041.0</v>
      </c>
      <c r="Q220" s="1" t="s">
        <v>2660</v>
      </c>
      <c r="R220" s="1" t="s">
        <v>3322</v>
      </c>
      <c r="S220" s="1" t="s">
        <v>2795</v>
      </c>
      <c r="T220" s="1" t="s">
        <v>3326</v>
      </c>
      <c r="U220" s="1" t="s">
        <v>71</v>
      </c>
      <c r="V220" s="1" t="s">
        <v>72</v>
      </c>
      <c r="W220" s="1" t="s">
        <v>31</v>
      </c>
      <c r="X220" s="1" t="s">
        <v>31</v>
      </c>
      <c r="Y220" s="1" t="s">
        <v>73</v>
      </c>
      <c r="Z220" s="1" t="s">
        <v>51</v>
      </c>
      <c r="AA220" s="1" t="s">
        <v>31</v>
      </c>
      <c r="AB220" s="1" t="s">
        <v>31</v>
      </c>
      <c r="AC220" s="1" t="s">
        <v>74</v>
      </c>
      <c r="AD220" s="1" t="s">
        <v>31</v>
      </c>
      <c r="AE220" s="5"/>
    </row>
    <row r="221" ht="14.25" customHeight="1">
      <c r="A221" s="1" t="s">
        <v>33</v>
      </c>
      <c r="B221" s="1">
        <v>1.1000387E7</v>
      </c>
      <c r="C221" s="1" t="str">
        <f>VLOOKUP(B221,Equipment!A$1:J$575,9,0)</f>
        <v>#N/A</v>
      </c>
      <c r="D221" s="1" t="s">
        <v>3330</v>
      </c>
      <c r="E221" s="1" t="s">
        <v>3332</v>
      </c>
      <c r="F221" s="1" t="s">
        <v>255</v>
      </c>
      <c r="G221" s="1" t="s">
        <v>3333</v>
      </c>
      <c r="H221" s="1" t="s">
        <v>2660</v>
      </c>
      <c r="I221" s="1" t="s">
        <v>2660</v>
      </c>
      <c r="J221" s="1" t="s">
        <v>147</v>
      </c>
      <c r="K221" s="1" t="s">
        <v>3334</v>
      </c>
      <c r="L221" s="1">
        <v>0.38</v>
      </c>
      <c r="M221" s="1" t="s">
        <v>2660</v>
      </c>
      <c r="N221" s="1" t="s">
        <v>3335</v>
      </c>
      <c r="O221" s="1" t="s">
        <v>68</v>
      </c>
      <c r="P221" s="1">
        <v>1041.0</v>
      </c>
      <c r="Q221" s="1" t="s">
        <v>2660</v>
      </c>
      <c r="R221" s="1" t="s">
        <v>3334</v>
      </c>
      <c r="S221" s="1" t="s">
        <v>2685</v>
      </c>
      <c r="T221" s="1" t="s">
        <v>3336</v>
      </c>
      <c r="U221" s="1" t="s">
        <v>71</v>
      </c>
      <c r="V221" s="1" t="s">
        <v>72</v>
      </c>
      <c r="W221" s="1" t="s">
        <v>31</v>
      </c>
      <c r="X221" s="1" t="s">
        <v>31</v>
      </c>
      <c r="Y221" s="1" t="s">
        <v>73</v>
      </c>
      <c r="Z221" s="1" t="s">
        <v>51</v>
      </c>
      <c r="AA221" s="1" t="s">
        <v>31</v>
      </c>
      <c r="AB221" s="1" t="s">
        <v>31</v>
      </c>
      <c r="AC221" s="1" t="s">
        <v>74</v>
      </c>
      <c r="AD221" s="1" t="s">
        <v>31</v>
      </c>
      <c r="AE221" s="5"/>
    </row>
    <row r="222" ht="14.25" customHeight="1">
      <c r="A222" s="1" t="s">
        <v>33</v>
      </c>
      <c r="B222" s="1">
        <v>1.1000389E7</v>
      </c>
      <c r="C222" s="1" t="str">
        <f>VLOOKUP(B222,Equipment!A$1:J$575,9,0)</f>
        <v>E</v>
      </c>
      <c r="D222" s="1" t="s">
        <v>3342</v>
      </c>
      <c r="E222" s="1" t="s">
        <v>3343</v>
      </c>
      <c r="F222" s="1" t="s">
        <v>60</v>
      </c>
      <c r="G222" s="1" t="s">
        <v>2832</v>
      </c>
      <c r="H222" s="1" t="s">
        <v>2660</v>
      </c>
      <c r="I222" s="1" t="s">
        <v>2660</v>
      </c>
      <c r="J222" s="1" t="s">
        <v>898</v>
      </c>
      <c r="K222" s="1" t="s">
        <v>3344</v>
      </c>
      <c r="L222" s="1">
        <v>0.5</v>
      </c>
      <c r="M222" s="1" t="s">
        <v>2660</v>
      </c>
      <c r="N222" s="1" t="s">
        <v>3345</v>
      </c>
      <c r="O222" s="1" t="s">
        <v>68</v>
      </c>
      <c r="P222" s="1">
        <v>1041.0</v>
      </c>
      <c r="Q222" s="1" t="s">
        <v>2660</v>
      </c>
      <c r="R222" s="1" t="s">
        <v>3344</v>
      </c>
      <c r="S222" s="1" t="s">
        <v>2685</v>
      </c>
      <c r="T222" s="1" t="s">
        <v>3346</v>
      </c>
      <c r="U222" s="1" t="s">
        <v>71</v>
      </c>
      <c r="V222" s="1" t="s">
        <v>72</v>
      </c>
      <c r="W222" s="1" t="s">
        <v>31</v>
      </c>
      <c r="X222" s="1" t="s">
        <v>2660</v>
      </c>
      <c r="Y222" s="1" t="s">
        <v>3348</v>
      </c>
      <c r="Z222" s="1" t="s">
        <v>51</v>
      </c>
      <c r="AA222" s="1" t="s">
        <v>31</v>
      </c>
      <c r="AB222" s="1" t="s">
        <v>31</v>
      </c>
      <c r="AC222" s="1" t="s">
        <v>74</v>
      </c>
      <c r="AD222" s="1" t="s">
        <v>31</v>
      </c>
      <c r="AE222" s="5"/>
    </row>
    <row r="223" ht="14.25" customHeight="1">
      <c r="A223" s="1" t="s">
        <v>33</v>
      </c>
      <c r="B223" s="1">
        <v>1.1000389E7</v>
      </c>
      <c r="C223" s="1" t="str">
        <f>VLOOKUP(B223,Equipment!A$1:J$575,9,0)</f>
        <v>E</v>
      </c>
      <c r="D223" s="1" t="s">
        <v>3354</v>
      </c>
      <c r="E223" s="1" t="s">
        <v>3355</v>
      </c>
      <c r="F223" s="1" t="s">
        <v>60</v>
      </c>
      <c r="G223" s="1" t="s">
        <v>3356</v>
      </c>
      <c r="H223" s="1" t="s">
        <v>2660</v>
      </c>
      <c r="I223" s="1" t="s">
        <v>31</v>
      </c>
      <c r="J223" s="1" t="s">
        <v>3357</v>
      </c>
      <c r="K223" s="1" t="s">
        <v>73</v>
      </c>
      <c r="L223" s="1">
        <v>0.0</v>
      </c>
      <c r="M223" s="1" t="s">
        <v>2660</v>
      </c>
      <c r="N223" s="1" t="s">
        <v>3357</v>
      </c>
      <c r="O223" s="1" t="s">
        <v>68</v>
      </c>
      <c r="P223" s="1">
        <v>1041.0</v>
      </c>
      <c r="Q223" s="1" t="s">
        <v>2660</v>
      </c>
      <c r="R223" s="1" t="s">
        <v>3358</v>
      </c>
      <c r="S223" s="1" t="s">
        <v>2685</v>
      </c>
      <c r="T223" s="1" t="s">
        <v>3359</v>
      </c>
      <c r="U223" s="1" t="s">
        <v>71</v>
      </c>
      <c r="V223" s="1" t="s">
        <v>72</v>
      </c>
      <c r="W223" s="1" t="s">
        <v>31</v>
      </c>
      <c r="X223" s="1" t="s">
        <v>31</v>
      </c>
      <c r="Y223" s="1" t="s">
        <v>73</v>
      </c>
      <c r="Z223" s="1" t="s">
        <v>51</v>
      </c>
      <c r="AA223" s="1" t="s">
        <v>31</v>
      </c>
      <c r="AB223" s="1" t="s">
        <v>31</v>
      </c>
      <c r="AC223" s="1" t="s">
        <v>74</v>
      </c>
      <c r="AD223" s="1" t="s">
        <v>31</v>
      </c>
      <c r="AE223" s="5"/>
    </row>
    <row r="224" ht="14.25" customHeight="1">
      <c r="A224" s="1" t="s">
        <v>33</v>
      </c>
      <c r="B224" s="1">
        <v>1.100039E7</v>
      </c>
      <c r="C224" s="1" t="str">
        <f>VLOOKUP(B224,Equipment!A$1:J$575,9,0)</f>
        <v>E</v>
      </c>
      <c r="D224" s="1" t="s">
        <v>3364</v>
      </c>
      <c r="E224" s="1" t="s">
        <v>3365</v>
      </c>
      <c r="F224" s="1" t="s">
        <v>608</v>
      </c>
      <c r="G224" s="1" t="s">
        <v>3366</v>
      </c>
      <c r="H224" s="1" t="s">
        <v>2660</v>
      </c>
      <c r="I224" s="1" t="s">
        <v>31</v>
      </c>
      <c r="J224" s="1" t="s">
        <v>3367</v>
      </c>
      <c r="K224" s="1" t="s">
        <v>73</v>
      </c>
      <c r="L224" s="1">
        <v>0.0</v>
      </c>
      <c r="M224" s="1" t="s">
        <v>2660</v>
      </c>
      <c r="N224" s="1" t="s">
        <v>3367</v>
      </c>
      <c r="O224" s="1" t="s">
        <v>68</v>
      </c>
      <c r="P224" s="1">
        <v>1041.0</v>
      </c>
      <c r="Q224" s="1" t="s">
        <v>2660</v>
      </c>
      <c r="R224" s="1" t="s">
        <v>3368</v>
      </c>
      <c r="S224" s="1" t="s">
        <v>2795</v>
      </c>
      <c r="T224" s="1" t="s">
        <v>3369</v>
      </c>
      <c r="U224" s="1" t="s">
        <v>71</v>
      </c>
      <c r="V224" s="1" t="s">
        <v>72</v>
      </c>
      <c r="W224" s="1" t="s">
        <v>31</v>
      </c>
      <c r="X224" s="1" t="s">
        <v>31</v>
      </c>
      <c r="Y224" s="1" t="s">
        <v>73</v>
      </c>
      <c r="Z224" s="1" t="s">
        <v>51</v>
      </c>
      <c r="AA224" s="1" t="s">
        <v>31</v>
      </c>
      <c r="AB224" s="1" t="s">
        <v>31</v>
      </c>
      <c r="AC224" s="1" t="s">
        <v>74</v>
      </c>
      <c r="AD224" s="1" t="s">
        <v>31</v>
      </c>
      <c r="AE224" s="5"/>
    </row>
    <row r="225" ht="14.25" customHeight="1">
      <c r="A225" s="1" t="s">
        <v>33</v>
      </c>
      <c r="B225" s="1">
        <v>1.1000439E7</v>
      </c>
      <c r="C225" s="1" t="str">
        <f>VLOOKUP(B225,Equipment!A$1:J$575,9,0)</f>
        <v>E</v>
      </c>
      <c r="D225" s="1" t="s">
        <v>3373</v>
      </c>
      <c r="E225" s="1" t="s">
        <v>3374</v>
      </c>
      <c r="F225" s="1" t="s">
        <v>894</v>
      </c>
      <c r="G225" s="1" t="s">
        <v>3375</v>
      </c>
      <c r="H225" s="1" t="s">
        <v>2660</v>
      </c>
      <c r="I225" s="1" t="s">
        <v>1027</v>
      </c>
      <c r="J225" s="1" t="s">
        <v>482</v>
      </c>
      <c r="K225" s="1" t="s">
        <v>3377</v>
      </c>
      <c r="L225" s="1">
        <v>0.67</v>
      </c>
      <c r="M225" s="1" t="s">
        <v>2660</v>
      </c>
      <c r="N225" s="1" t="s">
        <v>3378</v>
      </c>
      <c r="O225" s="1" t="s">
        <v>68</v>
      </c>
      <c r="P225" s="1">
        <v>1041.0</v>
      </c>
      <c r="Q225" s="1" t="s">
        <v>1027</v>
      </c>
      <c r="R225" s="1" t="s">
        <v>3377</v>
      </c>
      <c r="S225" s="1" t="s">
        <v>2685</v>
      </c>
      <c r="T225" s="1" t="s">
        <v>3380</v>
      </c>
      <c r="U225" s="1" t="s">
        <v>71</v>
      </c>
      <c r="V225" s="1" t="s">
        <v>72</v>
      </c>
      <c r="W225" s="1" t="s">
        <v>31</v>
      </c>
      <c r="X225" s="1" t="s">
        <v>31</v>
      </c>
      <c r="Y225" s="1" t="s">
        <v>73</v>
      </c>
      <c r="Z225" s="1" t="s">
        <v>51</v>
      </c>
      <c r="AA225" s="1" t="s">
        <v>31</v>
      </c>
      <c r="AB225" s="1" t="s">
        <v>31</v>
      </c>
      <c r="AC225" s="1" t="s">
        <v>74</v>
      </c>
      <c r="AD225" s="1" t="s">
        <v>31</v>
      </c>
      <c r="AE225" s="5"/>
    </row>
    <row r="226" ht="14.25" customHeight="1">
      <c r="A226" s="1" t="s">
        <v>33</v>
      </c>
      <c r="B226" s="1">
        <v>1.1000452E7</v>
      </c>
      <c r="C226" s="1" t="str">
        <f>VLOOKUP(B226,Equipment!A$1:J$575,9,0)</f>
        <v>E</v>
      </c>
      <c r="D226" s="1" t="s">
        <v>3386</v>
      </c>
      <c r="E226" s="1" t="s">
        <v>3387</v>
      </c>
      <c r="F226" s="1" t="s">
        <v>180</v>
      </c>
      <c r="G226" s="1" t="s">
        <v>3388</v>
      </c>
      <c r="H226" s="1" t="s">
        <v>2660</v>
      </c>
      <c r="I226" s="1" t="s">
        <v>2795</v>
      </c>
      <c r="J226" s="1" t="s">
        <v>3389</v>
      </c>
      <c r="K226" s="1" t="s">
        <v>3390</v>
      </c>
      <c r="L226" s="1">
        <v>1.33</v>
      </c>
      <c r="M226" s="1" t="s">
        <v>2660</v>
      </c>
      <c r="N226" s="1" t="s">
        <v>3392</v>
      </c>
      <c r="O226" s="1" t="s">
        <v>68</v>
      </c>
      <c r="P226" s="1">
        <v>1041.0</v>
      </c>
      <c r="Q226" s="1" t="s">
        <v>1030</v>
      </c>
      <c r="R226" s="1" t="s">
        <v>3393</v>
      </c>
      <c r="S226" s="1" t="s">
        <v>2795</v>
      </c>
      <c r="T226" s="1" t="s">
        <v>3394</v>
      </c>
      <c r="U226" s="1" t="s">
        <v>71</v>
      </c>
      <c r="V226" s="1" t="s">
        <v>72</v>
      </c>
      <c r="W226" s="1" t="s">
        <v>31</v>
      </c>
      <c r="X226" s="1" t="s">
        <v>31</v>
      </c>
      <c r="Y226" s="1" t="s">
        <v>73</v>
      </c>
      <c r="Z226" s="1" t="s">
        <v>51</v>
      </c>
      <c r="AA226" s="1" t="s">
        <v>31</v>
      </c>
      <c r="AB226" s="1" t="s">
        <v>31</v>
      </c>
      <c r="AC226" s="1" t="s">
        <v>74</v>
      </c>
      <c r="AD226" s="1" t="s">
        <v>31</v>
      </c>
      <c r="AE226" s="5"/>
    </row>
    <row r="227" ht="14.25" customHeight="1">
      <c r="A227" s="1" t="s">
        <v>33</v>
      </c>
      <c r="B227" s="1">
        <v>1.1000455E7</v>
      </c>
      <c r="C227" s="1" t="str">
        <f>VLOOKUP(B227,Equipment!A$1:J$575,9,0)</f>
        <v>E</v>
      </c>
      <c r="D227" s="1" t="s">
        <v>3398</v>
      </c>
      <c r="E227" s="1" t="s">
        <v>3399</v>
      </c>
      <c r="F227" s="1" t="s">
        <v>81</v>
      </c>
      <c r="G227" s="1" t="s">
        <v>3400</v>
      </c>
      <c r="H227" s="1" t="s">
        <v>2660</v>
      </c>
      <c r="I227" s="1" t="s">
        <v>1027</v>
      </c>
      <c r="J227" s="1" t="s">
        <v>348</v>
      </c>
      <c r="K227" s="1" t="s">
        <v>3401</v>
      </c>
      <c r="L227" s="1">
        <v>0.5</v>
      </c>
      <c r="M227" s="1" t="s">
        <v>2660</v>
      </c>
      <c r="N227" s="1" t="s">
        <v>3402</v>
      </c>
      <c r="O227" s="1" t="s">
        <v>68</v>
      </c>
      <c r="P227" s="1">
        <v>1041.0</v>
      </c>
      <c r="Q227" s="1" t="s">
        <v>1027</v>
      </c>
      <c r="R227" s="1" t="s">
        <v>3401</v>
      </c>
      <c r="S227" s="1" t="s">
        <v>2795</v>
      </c>
      <c r="T227" s="1" t="s">
        <v>3406</v>
      </c>
      <c r="U227" s="1" t="s">
        <v>71</v>
      </c>
      <c r="V227" s="1" t="s">
        <v>72</v>
      </c>
      <c r="W227" s="1" t="s">
        <v>31</v>
      </c>
      <c r="X227" s="1" t="s">
        <v>31</v>
      </c>
      <c r="Y227" s="1" t="s">
        <v>73</v>
      </c>
      <c r="Z227" s="1" t="s">
        <v>51</v>
      </c>
      <c r="AA227" s="1" t="s">
        <v>31</v>
      </c>
      <c r="AB227" s="1" t="s">
        <v>31</v>
      </c>
      <c r="AC227" s="1" t="s">
        <v>74</v>
      </c>
      <c r="AD227" s="1" t="s">
        <v>31</v>
      </c>
      <c r="AE227" s="5"/>
    </row>
    <row r="228" ht="14.25" customHeight="1">
      <c r="A228" s="1" t="s">
        <v>33</v>
      </c>
      <c r="B228" s="1">
        <v>1.1001303E7</v>
      </c>
      <c r="C228" s="1" t="str">
        <f>VLOOKUP(B228,Equipment!A$1:J$575,9,0)</f>
        <v>E</v>
      </c>
      <c r="D228" s="1" t="s">
        <v>3411</v>
      </c>
      <c r="E228" s="1" t="s">
        <v>3412</v>
      </c>
      <c r="F228" s="1" t="s">
        <v>649</v>
      </c>
      <c r="G228" s="1" t="s">
        <v>3414</v>
      </c>
      <c r="H228" s="1" t="s">
        <v>2660</v>
      </c>
      <c r="I228" s="1" t="s">
        <v>2795</v>
      </c>
      <c r="J228" s="1" t="s">
        <v>3415</v>
      </c>
      <c r="K228" s="1" t="s">
        <v>3416</v>
      </c>
      <c r="L228" s="1">
        <v>0.33</v>
      </c>
      <c r="M228" s="1" t="s">
        <v>2660</v>
      </c>
      <c r="N228" s="1" t="s">
        <v>3418</v>
      </c>
      <c r="O228" s="1" t="s">
        <v>121</v>
      </c>
      <c r="P228" s="1">
        <v>1041.0</v>
      </c>
      <c r="Q228" s="1" t="s">
        <v>2795</v>
      </c>
      <c r="R228" s="1" t="s">
        <v>3419</v>
      </c>
      <c r="S228" s="1" t="s">
        <v>2795</v>
      </c>
      <c r="T228" s="1" t="s">
        <v>3421</v>
      </c>
      <c r="U228" s="1" t="s">
        <v>71</v>
      </c>
      <c r="V228" s="1" t="s">
        <v>72</v>
      </c>
      <c r="W228" s="1" t="s">
        <v>31</v>
      </c>
      <c r="X228" s="1" t="s">
        <v>2660</v>
      </c>
      <c r="Y228" s="1" t="s">
        <v>3421</v>
      </c>
      <c r="Z228" s="1" t="s">
        <v>51</v>
      </c>
      <c r="AA228" s="1" t="s">
        <v>31</v>
      </c>
      <c r="AB228" s="1" t="s">
        <v>31</v>
      </c>
      <c r="AC228" s="1" t="s">
        <v>656</v>
      </c>
      <c r="AD228" s="1" t="s">
        <v>31</v>
      </c>
      <c r="AE228" s="5"/>
    </row>
    <row r="229" ht="14.25" customHeight="1">
      <c r="A229" s="1" t="s">
        <v>33</v>
      </c>
      <c r="B229" s="1">
        <v>1.1000228E7</v>
      </c>
      <c r="C229" s="1" t="str">
        <f>VLOOKUP(B229,Equipment!A$1:J$575,9,0)</f>
        <v>E</v>
      </c>
      <c r="D229" s="1" t="s">
        <v>3428</v>
      </c>
      <c r="E229" s="1" t="s">
        <v>3429</v>
      </c>
      <c r="F229" s="1" t="s">
        <v>483</v>
      </c>
      <c r="G229" s="1" t="s">
        <v>3430</v>
      </c>
      <c r="H229" s="1" t="s">
        <v>2660</v>
      </c>
      <c r="I229" s="1" t="s">
        <v>2660</v>
      </c>
      <c r="J229" s="1" t="s">
        <v>3431</v>
      </c>
      <c r="K229" s="1" t="s">
        <v>1156</v>
      </c>
      <c r="L229" s="1">
        <v>0.92</v>
      </c>
      <c r="M229" s="1" t="s">
        <v>2660</v>
      </c>
      <c r="N229" s="1" t="s">
        <v>3431</v>
      </c>
      <c r="O229" s="1" t="s">
        <v>131</v>
      </c>
      <c r="P229" s="1">
        <v>2001.0</v>
      </c>
      <c r="Q229" s="1" t="s">
        <v>2660</v>
      </c>
      <c r="R229" s="1" t="s">
        <v>1156</v>
      </c>
      <c r="S229" s="1" t="s">
        <v>2660</v>
      </c>
      <c r="T229" s="1" t="s">
        <v>1156</v>
      </c>
      <c r="U229" s="1" t="s">
        <v>71</v>
      </c>
      <c r="V229" s="1" t="s">
        <v>72</v>
      </c>
      <c r="W229" s="1" t="s">
        <v>31</v>
      </c>
      <c r="X229" s="1" t="s">
        <v>2660</v>
      </c>
      <c r="Y229" s="1" t="s">
        <v>3431</v>
      </c>
      <c r="Z229" s="1" t="s">
        <v>51</v>
      </c>
      <c r="AA229" s="1" t="s">
        <v>31</v>
      </c>
      <c r="AB229" s="1" t="s">
        <v>31</v>
      </c>
      <c r="AC229" s="1" t="s">
        <v>137</v>
      </c>
      <c r="AD229" s="1" t="s">
        <v>31</v>
      </c>
      <c r="AE229" s="5"/>
    </row>
    <row r="230" ht="14.25" customHeight="1">
      <c r="A230" s="1" t="s">
        <v>33</v>
      </c>
      <c r="B230" s="1">
        <v>1.1000254E7</v>
      </c>
      <c r="C230" s="1" t="str">
        <f>VLOOKUP(B230,Equipment!A$1:J$575,9,0)</f>
        <v>E</v>
      </c>
      <c r="D230" s="1" t="s">
        <v>3438</v>
      </c>
      <c r="E230" s="1" t="s">
        <v>3439</v>
      </c>
      <c r="F230" s="1" t="s">
        <v>477</v>
      </c>
      <c r="G230" s="1" t="s">
        <v>3440</v>
      </c>
      <c r="H230" s="1" t="s">
        <v>2660</v>
      </c>
      <c r="I230" s="1" t="s">
        <v>2660</v>
      </c>
      <c r="J230" s="1" t="s">
        <v>3441</v>
      </c>
      <c r="K230" s="1" t="s">
        <v>1929</v>
      </c>
      <c r="L230" s="1">
        <v>1.0</v>
      </c>
      <c r="M230" s="1" t="s">
        <v>2660</v>
      </c>
      <c r="N230" s="1" t="s">
        <v>3441</v>
      </c>
      <c r="O230" s="1" t="s">
        <v>131</v>
      </c>
      <c r="P230" s="1">
        <v>2001.0</v>
      </c>
      <c r="Q230" s="1" t="s">
        <v>2660</v>
      </c>
      <c r="R230" s="1" t="s">
        <v>1929</v>
      </c>
      <c r="S230" s="1" t="s">
        <v>31</v>
      </c>
      <c r="T230" s="1" t="s">
        <v>73</v>
      </c>
      <c r="U230" s="1" t="s">
        <v>71</v>
      </c>
      <c r="V230" s="1" t="s">
        <v>72</v>
      </c>
      <c r="W230" s="1" t="s">
        <v>31</v>
      </c>
      <c r="X230" s="1" t="s">
        <v>2660</v>
      </c>
      <c r="Y230" s="1" t="s">
        <v>3445</v>
      </c>
      <c r="Z230" s="1" t="s">
        <v>51</v>
      </c>
      <c r="AA230" s="1" t="s">
        <v>31</v>
      </c>
      <c r="AB230" s="1" t="s">
        <v>31</v>
      </c>
      <c r="AC230" s="1" t="s">
        <v>137</v>
      </c>
      <c r="AD230" s="1" t="s">
        <v>31</v>
      </c>
      <c r="AE230" s="5"/>
    </row>
    <row r="231" ht="14.25" customHeight="1">
      <c r="A231" s="1" t="s">
        <v>33</v>
      </c>
      <c r="B231" s="1">
        <v>1.1000315E7</v>
      </c>
      <c r="C231" s="1" t="str">
        <f>VLOOKUP(B231,Equipment!A$1:J$575,9,0)</f>
        <v>E</v>
      </c>
      <c r="D231" s="1" t="s">
        <v>3449</v>
      </c>
      <c r="E231" s="1" t="s">
        <v>3451</v>
      </c>
      <c r="F231" s="1" t="s">
        <v>661</v>
      </c>
      <c r="G231" s="1" t="s">
        <v>3452</v>
      </c>
      <c r="H231" s="1" t="s">
        <v>2660</v>
      </c>
      <c r="I231" s="1" t="s">
        <v>2660</v>
      </c>
      <c r="J231" s="1" t="s">
        <v>120</v>
      </c>
      <c r="K231" s="1" t="s">
        <v>130</v>
      </c>
      <c r="L231" s="1">
        <v>1.0</v>
      </c>
      <c r="M231" s="1" t="s">
        <v>2660</v>
      </c>
      <c r="N231" s="1" t="s">
        <v>120</v>
      </c>
      <c r="O231" s="1" t="s">
        <v>121</v>
      </c>
      <c r="P231" s="1">
        <v>2001.0</v>
      </c>
      <c r="Q231" s="1" t="s">
        <v>2660</v>
      </c>
      <c r="R231" s="1" t="s">
        <v>130</v>
      </c>
      <c r="S231" s="1" t="s">
        <v>31</v>
      </c>
      <c r="T231" s="1" t="s">
        <v>73</v>
      </c>
      <c r="U231" s="1" t="s">
        <v>71</v>
      </c>
      <c r="V231" s="1" t="s">
        <v>72</v>
      </c>
      <c r="W231" s="1" t="s">
        <v>31</v>
      </c>
      <c r="X231" s="1" t="s">
        <v>2660</v>
      </c>
      <c r="Y231" s="1" t="s">
        <v>3459</v>
      </c>
      <c r="Z231" s="1" t="s">
        <v>51</v>
      </c>
      <c r="AA231" s="1" t="s">
        <v>31</v>
      </c>
      <c r="AB231" s="1" t="s">
        <v>31</v>
      </c>
      <c r="AC231" s="1" t="s">
        <v>122</v>
      </c>
      <c r="AD231" s="1" t="s">
        <v>31</v>
      </c>
      <c r="AE231" s="5"/>
    </row>
    <row r="232" ht="14.25" customHeight="1">
      <c r="A232" s="1" t="s">
        <v>33</v>
      </c>
      <c r="B232" s="1">
        <v>1.1000808E7</v>
      </c>
      <c r="C232" s="1" t="str">
        <f>VLOOKUP(B232,Equipment!A$1:J$575,9,0)</f>
        <v>E</v>
      </c>
      <c r="D232" s="1" t="s">
        <v>3462</v>
      </c>
      <c r="E232" s="1" t="s">
        <v>3463</v>
      </c>
      <c r="F232" s="1" t="s">
        <v>1702</v>
      </c>
      <c r="G232" s="1" t="s">
        <v>3464</v>
      </c>
      <c r="H232" s="1" t="s">
        <v>2660</v>
      </c>
      <c r="I232" s="1" t="s">
        <v>2660</v>
      </c>
      <c r="J232" s="1" t="s">
        <v>898</v>
      </c>
      <c r="K232" s="1" t="s">
        <v>341</v>
      </c>
      <c r="L232" s="1">
        <v>12.0</v>
      </c>
      <c r="M232" s="1" t="s">
        <v>2660</v>
      </c>
      <c r="N232" s="1" t="s">
        <v>898</v>
      </c>
      <c r="O232" s="1" t="s">
        <v>131</v>
      </c>
      <c r="P232" s="1">
        <v>2001.0</v>
      </c>
      <c r="Q232" s="1" t="s">
        <v>2660</v>
      </c>
      <c r="R232" s="1" t="s">
        <v>341</v>
      </c>
      <c r="S232" s="1" t="s">
        <v>31</v>
      </c>
      <c r="T232" s="1" t="s">
        <v>73</v>
      </c>
      <c r="U232" s="1" t="s">
        <v>71</v>
      </c>
      <c r="V232" s="1" t="s">
        <v>72</v>
      </c>
      <c r="W232" s="1" t="s">
        <v>31</v>
      </c>
      <c r="X232" s="1" t="s">
        <v>2660</v>
      </c>
      <c r="Y232" s="1" t="s">
        <v>3466</v>
      </c>
      <c r="Z232" s="1" t="s">
        <v>51</v>
      </c>
      <c r="AA232" s="1" t="s">
        <v>31</v>
      </c>
      <c r="AB232" s="1" t="s">
        <v>31</v>
      </c>
      <c r="AC232" s="1" t="s">
        <v>137</v>
      </c>
      <c r="AD232" s="1" t="s">
        <v>31</v>
      </c>
      <c r="AE232" s="5"/>
    </row>
    <row r="233" ht="14.25" customHeight="1">
      <c r="A233" s="1" t="s">
        <v>33</v>
      </c>
      <c r="B233" s="1">
        <v>1.1000377E7</v>
      </c>
      <c r="C233" s="1" t="str">
        <f>VLOOKUP(B233,Equipment!A$1:J$575,9,0)</f>
        <v>E</v>
      </c>
      <c r="D233" s="1" t="s">
        <v>3468</v>
      </c>
      <c r="E233" s="1" t="s">
        <v>3469</v>
      </c>
      <c r="F233" s="1" t="s">
        <v>825</v>
      </c>
      <c r="G233" s="1" t="s">
        <v>3470</v>
      </c>
      <c r="H233" s="1" t="s">
        <v>2576</v>
      </c>
      <c r="I233" s="1" t="s">
        <v>2576</v>
      </c>
      <c r="J233" s="1" t="s">
        <v>2142</v>
      </c>
      <c r="K233" s="1" t="s">
        <v>3471</v>
      </c>
      <c r="L233" s="1">
        <v>2.0</v>
      </c>
      <c r="M233" s="1" t="s">
        <v>2576</v>
      </c>
      <c r="N233" s="1" t="s">
        <v>2731</v>
      </c>
      <c r="O233" s="1" t="s">
        <v>68</v>
      </c>
      <c r="P233" s="1">
        <v>1041.0</v>
      </c>
      <c r="Q233" s="1" t="s">
        <v>2576</v>
      </c>
      <c r="R233" s="1" t="s">
        <v>3471</v>
      </c>
      <c r="S233" s="1" t="s">
        <v>2660</v>
      </c>
      <c r="T233" s="1" t="s">
        <v>3473</v>
      </c>
      <c r="U233" s="1" t="s">
        <v>71</v>
      </c>
      <c r="V233" s="1" t="s">
        <v>72</v>
      </c>
      <c r="W233" s="1" t="s">
        <v>31</v>
      </c>
      <c r="X233" s="1" t="s">
        <v>2576</v>
      </c>
      <c r="Y233" s="1" t="s">
        <v>3473</v>
      </c>
      <c r="Z233" s="1" t="s">
        <v>51</v>
      </c>
      <c r="AA233" s="1" t="s">
        <v>31</v>
      </c>
      <c r="AB233" s="1" t="s">
        <v>31</v>
      </c>
      <c r="AC233" s="1" t="s">
        <v>74</v>
      </c>
      <c r="AD233" s="1" t="s">
        <v>31</v>
      </c>
      <c r="AE233" s="5"/>
    </row>
    <row r="234" ht="14.25" customHeight="1">
      <c r="A234" s="1" t="s">
        <v>33</v>
      </c>
      <c r="B234" s="1">
        <v>1.1000379E7</v>
      </c>
      <c r="C234" s="1" t="str">
        <f>VLOOKUP(B234,Equipment!A$1:J$575,9,0)</f>
        <v>E</v>
      </c>
      <c r="D234" s="1" t="s">
        <v>31</v>
      </c>
      <c r="E234" s="1" t="s">
        <v>3476</v>
      </c>
      <c r="F234" s="1" t="s">
        <v>386</v>
      </c>
      <c r="G234" s="1" t="s">
        <v>3477</v>
      </c>
      <c r="H234" s="1" t="s">
        <v>2576</v>
      </c>
      <c r="I234" s="1" t="s">
        <v>31</v>
      </c>
      <c r="J234" s="1" t="s">
        <v>3481</v>
      </c>
      <c r="K234" s="1" t="s">
        <v>73</v>
      </c>
      <c r="L234" s="1">
        <v>0.0</v>
      </c>
      <c r="M234" s="1" t="s">
        <v>2576</v>
      </c>
      <c r="N234" s="1" t="s">
        <v>3482</v>
      </c>
      <c r="O234" s="1" t="s">
        <v>68</v>
      </c>
      <c r="P234" s="1">
        <v>1041.0</v>
      </c>
      <c r="Q234" s="1" t="s">
        <v>2576</v>
      </c>
      <c r="R234" s="1" t="s">
        <v>3484</v>
      </c>
      <c r="S234" s="1" t="s">
        <v>2758</v>
      </c>
      <c r="T234" s="1" t="s">
        <v>3485</v>
      </c>
      <c r="U234" s="1" t="s">
        <v>71</v>
      </c>
      <c r="V234" s="1" t="s">
        <v>72</v>
      </c>
      <c r="W234" s="1" t="s">
        <v>31</v>
      </c>
      <c r="X234" s="1" t="s">
        <v>2576</v>
      </c>
      <c r="Y234" s="1" t="s">
        <v>3485</v>
      </c>
      <c r="Z234" s="1" t="s">
        <v>51</v>
      </c>
      <c r="AA234" s="1" t="s">
        <v>31</v>
      </c>
      <c r="AB234" s="1" t="s">
        <v>31</v>
      </c>
      <c r="AC234" s="1" t="s">
        <v>74</v>
      </c>
      <c r="AD234" s="1" t="s">
        <v>31</v>
      </c>
      <c r="AE234" s="5"/>
    </row>
    <row r="235" ht="14.25" customHeight="1">
      <c r="A235" s="1" t="s">
        <v>33</v>
      </c>
      <c r="B235" s="1">
        <v>1.100038E7</v>
      </c>
      <c r="C235" s="1" t="str">
        <f>VLOOKUP(B235,Equipment!A$1:J$575,9,0)</f>
        <v>E</v>
      </c>
      <c r="D235" s="1" t="s">
        <v>3489</v>
      </c>
      <c r="E235" s="1" t="s">
        <v>3491</v>
      </c>
      <c r="F235" s="1" t="s">
        <v>545</v>
      </c>
      <c r="G235" s="1" t="s">
        <v>3266</v>
      </c>
      <c r="H235" s="1" t="s">
        <v>2576</v>
      </c>
      <c r="I235" s="1" t="s">
        <v>2576</v>
      </c>
      <c r="J235" s="1" t="s">
        <v>341</v>
      </c>
      <c r="K235" s="1" t="s">
        <v>3492</v>
      </c>
      <c r="L235" s="1">
        <v>1.0</v>
      </c>
      <c r="M235" s="1" t="s">
        <v>2576</v>
      </c>
      <c r="N235" s="1" t="s">
        <v>3493</v>
      </c>
      <c r="O235" s="1" t="s">
        <v>68</v>
      </c>
      <c r="P235" s="1">
        <v>1041.0</v>
      </c>
      <c r="Q235" s="1" t="s">
        <v>2576</v>
      </c>
      <c r="R235" s="1" t="s">
        <v>3492</v>
      </c>
      <c r="S235" s="1" t="s">
        <v>2660</v>
      </c>
      <c r="T235" s="1" t="s">
        <v>3495</v>
      </c>
      <c r="U235" s="1" t="s">
        <v>71</v>
      </c>
      <c r="V235" s="1" t="s">
        <v>72</v>
      </c>
      <c r="W235" s="1" t="s">
        <v>31</v>
      </c>
      <c r="X235" s="1" t="s">
        <v>2576</v>
      </c>
      <c r="Y235" s="1" t="s">
        <v>3495</v>
      </c>
      <c r="Z235" s="1" t="s">
        <v>51</v>
      </c>
      <c r="AA235" s="1" t="s">
        <v>31</v>
      </c>
      <c r="AB235" s="1" t="s">
        <v>31</v>
      </c>
      <c r="AC235" s="1" t="s">
        <v>74</v>
      </c>
      <c r="AD235" s="1" t="s">
        <v>31</v>
      </c>
      <c r="AE235" s="5"/>
    </row>
    <row r="236" ht="14.25" customHeight="1">
      <c r="A236" s="1" t="s">
        <v>33</v>
      </c>
      <c r="B236" s="1">
        <v>1.1000383E7</v>
      </c>
      <c r="C236" s="1" t="str">
        <f>VLOOKUP(B236,Equipment!A$1:J$575,9,0)</f>
        <v>E</v>
      </c>
      <c r="D236" s="1" t="s">
        <v>3503</v>
      </c>
      <c r="E236" s="1" t="s">
        <v>3504</v>
      </c>
      <c r="F236" s="1" t="s">
        <v>861</v>
      </c>
      <c r="G236" s="1" t="s">
        <v>3505</v>
      </c>
      <c r="H236" s="1" t="s">
        <v>2576</v>
      </c>
      <c r="I236" s="1" t="s">
        <v>2576</v>
      </c>
      <c r="J236" s="1" t="s">
        <v>271</v>
      </c>
      <c r="K236" s="1" t="s">
        <v>3506</v>
      </c>
      <c r="L236" s="1">
        <v>3.0</v>
      </c>
      <c r="M236" s="1" t="s">
        <v>2576</v>
      </c>
      <c r="N236" s="1" t="s">
        <v>3507</v>
      </c>
      <c r="O236" s="1" t="s">
        <v>68</v>
      </c>
      <c r="P236" s="1">
        <v>1041.0</v>
      </c>
      <c r="Q236" s="1" t="s">
        <v>2576</v>
      </c>
      <c r="R236" s="1" t="s">
        <v>3506</v>
      </c>
      <c r="S236" s="1" t="s">
        <v>2758</v>
      </c>
      <c r="T236" s="1" t="s">
        <v>3509</v>
      </c>
      <c r="U236" s="1" t="s">
        <v>71</v>
      </c>
      <c r="V236" s="1" t="s">
        <v>72</v>
      </c>
      <c r="W236" s="1" t="s">
        <v>31</v>
      </c>
      <c r="X236" s="1" t="s">
        <v>2576</v>
      </c>
      <c r="Y236" s="1" t="s">
        <v>3510</v>
      </c>
      <c r="Z236" s="1" t="s">
        <v>51</v>
      </c>
      <c r="AA236" s="1" t="s">
        <v>31</v>
      </c>
      <c r="AB236" s="1" t="s">
        <v>31</v>
      </c>
      <c r="AC236" s="1" t="s">
        <v>74</v>
      </c>
      <c r="AD236" s="1" t="s">
        <v>31</v>
      </c>
      <c r="AE236" s="5"/>
    </row>
    <row r="237" ht="14.25" customHeight="1">
      <c r="A237" s="1" t="s">
        <v>33</v>
      </c>
      <c r="B237" s="1">
        <v>1.1000384E7</v>
      </c>
      <c r="C237" s="1" t="str">
        <f>VLOOKUP(B237,Equipment!A$1:J$575,9,0)</f>
        <v>E</v>
      </c>
      <c r="D237" s="1" t="s">
        <v>3514</v>
      </c>
      <c r="E237" s="1" t="s">
        <v>3515</v>
      </c>
      <c r="F237" s="1" t="s">
        <v>575</v>
      </c>
      <c r="G237" s="1" t="s">
        <v>3516</v>
      </c>
      <c r="H237" s="1" t="s">
        <v>2576</v>
      </c>
      <c r="I237" s="1" t="s">
        <v>2576</v>
      </c>
      <c r="J237" s="1" t="s">
        <v>1989</v>
      </c>
      <c r="K237" s="1" t="s">
        <v>3517</v>
      </c>
      <c r="L237" s="1">
        <v>2.0</v>
      </c>
      <c r="M237" s="1" t="s">
        <v>2576</v>
      </c>
      <c r="N237" s="1" t="s">
        <v>3518</v>
      </c>
      <c r="O237" s="1" t="s">
        <v>68</v>
      </c>
      <c r="P237" s="1">
        <v>1041.0</v>
      </c>
      <c r="Q237" s="1" t="s">
        <v>2576</v>
      </c>
      <c r="R237" s="1" t="s">
        <v>3517</v>
      </c>
      <c r="S237" s="1" t="s">
        <v>2758</v>
      </c>
      <c r="T237" s="1" t="s">
        <v>3519</v>
      </c>
      <c r="U237" s="1" t="s">
        <v>71</v>
      </c>
      <c r="V237" s="1" t="s">
        <v>72</v>
      </c>
      <c r="W237" s="1" t="s">
        <v>31</v>
      </c>
      <c r="X237" s="1" t="s">
        <v>31</v>
      </c>
      <c r="Y237" s="1" t="s">
        <v>73</v>
      </c>
      <c r="Z237" s="1" t="s">
        <v>51</v>
      </c>
      <c r="AA237" s="1" t="s">
        <v>31</v>
      </c>
      <c r="AB237" s="1" t="s">
        <v>31</v>
      </c>
      <c r="AC237" s="1" t="s">
        <v>74</v>
      </c>
      <c r="AD237" s="1" t="s">
        <v>31</v>
      </c>
      <c r="AE237" s="5"/>
    </row>
    <row r="238" ht="14.25" customHeight="1">
      <c r="A238" s="1" t="s">
        <v>33</v>
      </c>
      <c r="B238" s="1">
        <v>1.1000384E7</v>
      </c>
      <c r="C238" s="1" t="str">
        <f>VLOOKUP(B238,Equipment!A$1:J$575,9,0)</f>
        <v>E</v>
      </c>
      <c r="D238" s="1" t="s">
        <v>31</v>
      </c>
      <c r="E238" s="1" t="s">
        <v>3525</v>
      </c>
      <c r="F238" s="1" t="s">
        <v>575</v>
      </c>
      <c r="G238" s="1" t="s">
        <v>3526</v>
      </c>
      <c r="H238" s="1" t="s">
        <v>2576</v>
      </c>
      <c r="I238" s="1" t="s">
        <v>31</v>
      </c>
      <c r="J238" s="1" t="s">
        <v>3527</v>
      </c>
      <c r="K238" s="1" t="s">
        <v>73</v>
      </c>
      <c r="L238" s="1">
        <v>0.0</v>
      </c>
      <c r="M238" s="1" t="s">
        <v>2576</v>
      </c>
      <c r="N238" s="1" t="s">
        <v>3528</v>
      </c>
      <c r="O238" s="1" t="s">
        <v>68</v>
      </c>
      <c r="P238" s="1">
        <v>1041.0</v>
      </c>
      <c r="Q238" s="1" t="s">
        <v>2576</v>
      </c>
      <c r="R238" s="1" t="s">
        <v>3529</v>
      </c>
      <c r="S238" s="1" t="s">
        <v>31</v>
      </c>
      <c r="T238" s="1" t="s">
        <v>73</v>
      </c>
      <c r="U238" s="1" t="s">
        <v>71</v>
      </c>
      <c r="V238" s="1" t="s">
        <v>72</v>
      </c>
      <c r="W238" s="1" t="s">
        <v>31</v>
      </c>
      <c r="X238" s="1" t="s">
        <v>2576</v>
      </c>
      <c r="Y238" s="1" t="s">
        <v>3530</v>
      </c>
      <c r="Z238" s="1" t="s">
        <v>51</v>
      </c>
      <c r="AA238" s="1" t="s">
        <v>31</v>
      </c>
      <c r="AB238" s="1" t="s">
        <v>31</v>
      </c>
      <c r="AC238" s="1" t="s">
        <v>74</v>
      </c>
      <c r="AD238" s="1" t="s">
        <v>31</v>
      </c>
      <c r="AE238" s="5"/>
    </row>
    <row r="239" ht="14.25" customHeight="1">
      <c r="A239" s="1" t="s">
        <v>33</v>
      </c>
      <c r="B239" s="1">
        <v>1.1000385E7</v>
      </c>
      <c r="C239" s="1" t="str">
        <f>VLOOKUP(B239,Equipment!A$1:J$575,9,0)</f>
        <v>E</v>
      </c>
      <c r="D239" s="1" t="s">
        <v>3537</v>
      </c>
      <c r="E239" s="1" t="s">
        <v>3538</v>
      </c>
      <c r="F239" s="1" t="s">
        <v>877</v>
      </c>
      <c r="G239" s="1" t="s">
        <v>3539</v>
      </c>
      <c r="H239" s="1" t="s">
        <v>2576</v>
      </c>
      <c r="I239" s="1" t="s">
        <v>2576</v>
      </c>
      <c r="J239" s="1" t="s">
        <v>992</v>
      </c>
      <c r="K239" s="1" t="s">
        <v>3540</v>
      </c>
      <c r="L239" s="1">
        <v>1.0</v>
      </c>
      <c r="M239" s="1" t="s">
        <v>2576</v>
      </c>
      <c r="N239" s="1" t="s">
        <v>3543</v>
      </c>
      <c r="O239" s="1" t="s">
        <v>68</v>
      </c>
      <c r="P239" s="1">
        <v>1041.0</v>
      </c>
      <c r="Q239" s="1" t="s">
        <v>2576</v>
      </c>
      <c r="R239" s="1" t="s">
        <v>3540</v>
      </c>
      <c r="S239" s="1" t="s">
        <v>2758</v>
      </c>
      <c r="T239" s="1" t="s">
        <v>3546</v>
      </c>
      <c r="U239" s="1" t="s">
        <v>71</v>
      </c>
      <c r="V239" s="1" t="s">
        <v>72</v>
      </c>
      <c r="W239" s="1" t="s">
        <v>31</v>
      </c>
      <c r="X239" s="1" t="s">
        <v>31</v>
      </c>
      <c r="Y239" s="1" t="s">
        <v>73</v>
      </c>
      <c r="Z239" s="1" t="s">
        <v>51</v>
      </c>
      <c r="AA239" s="1" t="s">
        <v>31</v>
      </c>
      <c r="AB239" s="1" t="s">
        <v>31</v>
      </c>
      <c r="AC239" s="1" t="s">
        <v>74</v>
      </c>
      <c r="AD239" s="1" t="s">
        <v>31</v>
      </c>
      <c r="AE239" s="5"/>
    </row>
    <row r="240" ht="14.25" customHeight="1">
      <c r="A240" s="1" t="s">
        <v>33</v>
      </c>
      <c r="B240" s="1">
        <v>1.1000386E7</v>
      </c>
      <c r="C240" s="1" t="str">
        <f>VLOOKUP(B240,Equipment!A$1:J$575,9,0)</f>
        <v>E</v>
      </c>
      <c r="D240" s="1" t="s">
        <v>3550</v>
      </c>
      <c r="E240" s="1" t="s">
        <v>3551</v>
      </c>
      <c r="F240" s="1" t="s">
        <v>415</v>
      </c>
      <c r="G240" s="1" t="s">
        <v>3552</v>
      </c>
      <c r="H240" s="1" t="s">
        <v>2576</v>
      </c>
      <c r="I240" s="1" t="s">
        <v>2576</v>
      </c>
      <c r="J240" s="1" t="s">
        <v>3553</v>
      </c>
      <c r="K240" s="1" t="s">
        <v>3555</v>
      </c>
      <c r="L240" s="1">
        <v>10.42</v>
      </c>
      <c r="M240" s="1" t="s">
        <v>2576</v>
      </c>
      <c r="N240" s="1" t="s">
        <v>3556</v>
      </c>
      <c r="O240" s="1" t="s">
        <v>68</v>
      </c>
      <c r="P240" s="1">
        <v>1041.0</v>
      </c>
      <c r="Q240" s="1" t="s">
        <v>2576</v>
      </c>
      <c r="R240" s="1" t="s">
        <v>3555</v>
      </c>
      <c r="S240" s="1" t="s">
        <v>2660</v>
      </c>
      <c r="T240" s="1" t="s">
        <v>3559</v>
      </c>
      <c r="U240" s="1" t="s">
        <v>71</v>
      </c>
      <c r="V240" s="1" t="s">
        <v>72</v>
      </c>
      <c r="W240" s="1" t="s">
        <v>31</v>
      </c>
      <c r="X240" s="1" t="s">
        <v>2576</v>
      </c>
      <c r="Y240" s="1" t="s">
        <v>3559</v>
      </c>
      <c r="Z240" s="1" t="s">
        <v>51</v>
      </c>
      <c r="AA240" s="1" t="s">
        <v>31</v>
      </c>
      <c r="AB240" s="1" t="s">
        <v>31</v>
      </c>
      <c r="AC240" s="1" t="s">
        <v>74</v>
      </c>
      <c r="AD240" s="1" t="s">
        <v>31</v>
      </c>
      <c r="AE240" s="5"/>
    </row>
    <row r="241" ht="14.25" customHeight="1">
      <c r="A241" s="1" t="s">
        <v>33</v>
      </c>
      <c r="B241" s="1">
        <v>1.1000389E7</v>
      </c>
      <c r="C241" s="1" t="str">
        <f>VLOOKUP(B241,Equipment!A$1:J$575,9,0)</f>
        <v>E</v>
      </c>
      <c r="D241" s="1" t="s">
        <v>3564</v>
      </c>
      <c r="E241" s="1" t="s">
        <v>3565</v>
      </c>
      <c r="F241" s="1" t="s">
        <v>60</v>
      </c>
      <c r="G241" s="1" t="s">
        <v>2844</v>
      </c>
      <c r="H241" s="1" t="s">
        <v>2576</v>
      </c>
      <c r="I241" s="1" t="s">
        <v>2795</v>
      </c>
      <c r="J241" s="1" t="s">
        <v>490</v>
      </c>
      <c r="K241" s="1" t="s">
        <v>3567</v>
      </c>
      <c r="L241" s="1">
        <v>0.33</v>
      </c>
      <c r="M241" s="1" t="s">
        <v>2576</v>
      </c>
      <c r="N241" s="1" t="s">
        <v>3571</v>
      </c>
      <c r="O241" s="1" t="s">
        <v>68</v>
      </c>
      <c r="P241" s="1">
        <v>1041.0</v>
      </c>
      <c r="Q241" s="1" t="s">
        <v>2795</v>
      </c>
      <c r="R241" s="1" t="s">
        <v>3567</v>
      </c>
      <c r="S241" s="1" t="s">
        <v>2758</v>
      </c>
      <c r="T241" s="1" t="s">
        <v>3572</v>
      </c>
      <c r="U241" s="1" t="s">
        <v>71</v>
      </c>
      <c r="V241" s="1" t="s">
        <v>72</v>
      </c>
      <c r="W241" s="1" t="s">
        <v>31</v>
      </c>
      <c r="X241" s="1" t="s">
        <v>31</v>
      </c>
      <c r="Y241" s="1" t="s">
        <v>73</v>
      </c>
      <c r="Z241" s="1" t="s">
        <v>51</v>
      </c>
      <c r="AA241" s="1" t="s">
        <v>31</v>
      </c>
      <c r="AB241" s="1" t="s">
        <v>31</v>
      </c>
      <c r="AC241" s="1" t="s">
        <v>74</v>
      </c>
      <c r="AD241" s="1" t="s">
        <v>31</v>
      </c>
      <c r="AE241" s="5"/>
    </row>
    <row r="242" ht="14.25" customHeight="1">
      <c r="A242" s="1" t="s">
        <v>33</v>
      </c>
      <c r="B242" s="1">
        <v>1.1000389E7</v>
      </c>
      <c r="C242" s="1" t="str">
        <f>VLOOKUP(B242,Equipment!A$1:J$575,9,0)</f>
        <v>E</v>
      </c>
      <c r="D242" s="1" t="s">
        <v>3575</v>
      </c>
      <c r="E242" s="1" t="s">
        <v>3576</v>
      </c>
      <c r="F242" s="1" t="s">
        <v>60</v>
      </c>
      <c r="G242" s="1" t="s">
        <v>3578</v>
      </c>
      <c r="H242" s="1" t="s">
        <v>2576</v>
      </c>
      <c r="I242" s="1" t="s">
        <v>2576</v>
      </c>
      <c r="J242" s="1" t="s">
        <v>348</v>
      </c>
      <c r="K242" s="1" t="s">
        <v>3579</v>
      </c>
      <c r="L242" s="1">
        <v>0.5</v>
      </c>
      <c r="M242" s="1" t="s">
        <v>2576</v>
      </c>
      <c r="N242" s="1" t="s">
        <v>3580</v>
      </c>
      <c r="O242" s="1" t="s">
        <v>68</v>
      </c>
      <c r="P242" s="1">
        <v>1041.0</v>
      </c>
      <c r="Q242" s="1" t="s">
        <v>2576</v>
      </c>
      <c r="R242" s="1" t="s">
        <v>3579</v>
      </c>
      <c r="S242" s="1" t="s">
        <v>2758</v>
      </c>
      <c r="T242" s="1" t="s">
        <v>3581</v>
      </c>
      <c r="U242" s="1" t="s">
        <v>71</v>
      </c>
      <c r="V242" s="1" t="s">
        <v>72</v>
      </c>
      <c r="W242" s="1" t="s">
        <v>31</v>
      </c>
      <c r="X242" s="1" t="s">
        <v>2576</v>
      </c>
      <c r="Y242" s="1" t="s">
        <v>3581</v>
      </c>
      <c r="Z242" s="1" t="s">
        <v>51</v>
      </c>
      <c r="AA242" s="1" t="s">
        <v>31</v>
      </c>
      <c r="AB242" s="1" t="s">
        <v>31</v>
      </c>
      <c r="AC242" s="1" t="s">
        <v>74</v>
      </c>
      <c r="AD242" s="1" t="s">
        <v>31</v>
      </c>
      <c r="AE242" s="5"/>
    </row>
    <row r="243" ht="14.25" customHeight="1">
      <c r="A243" s="1" t="s">
        <v>33</v>
      </c>
      <c r="B243" s="1">
        <v>1.1000389E7</v>
      </c>
      <c r="C243" s="1" t="str">
        <f>VLOOKUP(B243,Equipment!A$1:J$575,9,0)</f>
        <v>E</v>
      </c>
      <c r="D243" s="1" t="s">
        <v>3587</v>
      </c>
      <c r="E243" s="1" t="s">
        <v>3588</v>
      </c>
      <c r="F243" s="1" t="s">
        <v>60</v>
      </c>
      <c r="G243" s="1" t="s">
        <v>2832</v>
      </c>
      <c r="H243" s="1" t="s">
        <v>2576</v>
      </c>
      <c r="I243" s="1" t="s">
        <v>31</v>
      </c>
      <c r="J243" s="1" t="s">
        <v>3589</v>
      </c>
      <c r="K243" s="1" t="s">
        <v>73</v>
      </c>
      <c r="L243" s="1">
        <v>0.0</v>
      </c>
      <c r="M243" s="1" t="s">
        <v>2576</v>
      </c>
      <c r="N243" s="1" t="s">
        <v>3589</v>
      </c>
      <c r="O243" s="1" t="s">
        <v>68</v>
      </c>
      <c r="P243" s="1">
        <v>1041.0</v>
      </c>
      <c r="Q243" s="1" t="s">
        <v>2576</v>
      </c>
      <c r="R243" s="1" t="s">
        <v>3590</v>
      </c>
      <c r="S243" s="1" t="s">
        <v>2758</v>
      </c>
      <c r="T243" s="1" t="s">
        <v>3591</v>
      </c>
      <c r="U243" s="1" t="s">
        <v>71</v>
      </c>
      <c r="V243" s="1" t="s">
        <v>72</v>
      </c>
      <c r="W243" s="1" t="s">
        <v>31</v>
      </c>
      <c r="X243" s="1" t="s">
        <v>31</v>
      </c>
      <c r="Y243" s="1" t="s">
        <v>73</v>
      </c>
      <c r="Z243" s="1" t="s">
        <v>51</v>
      </c>
      <c r="AA243" s="1" t="s">
        <v>31</v>
      </c>
      <c r="AB243" s="1" t="s">
        <v>31</v>
      </c>
      <c r="AC243" s="1" t="s">
        <v>74</v>
      </c>
      <c r="AD243" s="1" t="s">
        <v>31</v>
      </c>
      <c r="AE243" s="5"/>
    </row>
    <row r="244" ht="14.25" customHeight="1">
      <c r="A244" s="1" t="s">
        <v>33</v>
      </c>
      <c r="B244" s="1">
        <v>1.100039E7</v>
      </c>
      <c r="C244" s="1" t="str">
        <f>VLOOKUP(B244,Equipment!A$1:J$575,9,0)</f>
        <v>E</v>
      </c>
      <c r="D244" s="1" t="s">
        <v>3595</v>
      </c>
      <c r="E244" s="1" t="s">
        <v>3596</v>
      </c>
      <c r="F244" s="1" t="s">
        <v>608</v>
      </c>
      <c r="G244" s="1" t="s">
        <v>3597</v>
      </c>
      <c r="H244" s="1" t="s">
        <v>2576</v>
      </c>
      <c r="I244" s="1" t="s">
        <v>2576</v>
      </c>
      <c r="J244" s="1" t="s">
        <v>3598</v>
      </c>
      <c r="K244" s="1" t="s">
        <v>3599</v>
      </c>
      <c r="L244" s="1">
        <v>0.5</v>
      </c>
      <c r="M244" s="1" t="s">
        <v>2576</v>
      </c>
      <c r="N244" s="1" t="s">
        <v>3601</v>
      </c>
      <c r="O244" s="1" t="s">
        <v>68</v>
      </c>
      <c r="P244" s="1">
        <v>1041.0</v>
      </c>
      <c r="Q244" s="1" t="s">
        <v>2576</v>
      </c>
      <c r="R244" s="1" t="s">
        <v>3599</v>
      </c>
      <c r="S244" s="1" t="s">
        <v>2758</v>
      </c>
      <c r="T244" s="1" t="s">
        <v>3602</v>
      </c>
      <c r="U244" s="1" t="s">
        <v>71</v>
      </c>
      <c r="V244" s="1" t="s">
        <v>72</v>
      </c>
      <c r="W244" s="1" t="s">
        <v>31</v>
      </c>
      <c r="X244" s="1" t="s">
        <v>31</v>
      </c>
      <c r="Y244" s="1" t="s">
        <v>73</v>
      </c>
      <c r="Z244" s="1" t="s">
        <v>51</v>
      </c>
      <c r="AA244" s="1" t="s">
        <v>31</v>
      </c>
      <c r="AB244" s="1" t="s">
        <v>31</v>
      </c>
      <c r="AC244" s="1" t="s">
        <v>74</v>
      </c>
      <c r="AD244" s="1" t="s">
        <v>31</v>
      </c>
      <c r="AE244" s="5"/>
    </row>
    <row r="245" ht="14.25" customHeight="1">
      <c r="A245" s="1" t="s">
        <v>33</v>
      </c>
      <c r="B245" s="1">
        <v>1.100039E7</v>
      </c>
      <c r="C245" s="1" t="str">
        <f>VLOOKUP(B245,Equipment!A$1:J$575,9,0)</f>
        <v>E</v>
      </c>
      <c r="D245" s="1" t="s">
        <v>3609</v>
      </c>
      <c r="E245" s="1" t="s">
        <v>3610</v>
      </c>
      <c r="F245" s="1" t="s">
        <v>608</v>
      </c>
      <c r="G245" s="1" t="s">
        <v>3597</v>
      </c>
      <c r="H245" s="1" t="s">
        <v>2576</v>
      </c>
      <c r="I245" s="1" t="s">
        <v>31</v>
      </c>
      <c r="J245" s="1" t="s">
        <v>3611</v>
      </c>
      <c r="K245" s="1" t="s">
        <v>73</v>
      </c>
      <c r="L245" s="1">
        <v>0.0</v>
      </c>
      <c r="M245" s="1" t="s">
        <v>2576</v>
      </c>
      <c r="N245" s="1" t="s">
        <v>3612</v>
      </c>
      <c r="O245" s="1" t="s">
        <v>68</v>
      </c>
      <c r="P245" s="1">
        <v>1041.0</v>
      </c>
      <c r="Q245" s="1" t="s">
        <v>2576</v>
      </c>
      <c r="R245" s="1" t="s">
        <v>3613</v>
      </c>
      <c r="S245" s="1" t="s">
        <v>2758</v>
      </c>
      <c r="T245" s="1" t="s">
        <v>3614</v>
      </c>
      <c r="U245" s="1" t="s">
        <v>71</v>
      </c>
      <c r="V245" s="1" t="s">
        <v>72</v>
      </c>
      <c r="W245" s="1" t="s">
        <v>31</v>
      </c>
      <c r="X245" s="1" t="s">
        <v>2576</v>
      </c>
      <c r="Y245" s="1" t="s">
        <v>3614</v>
      </c>
      <c r="Z245" s="1" t="s">
        <v>51</v>
      </c>
      <c r="AA245" s="1" t="s">
        <v>31</v>
      </c>
      <c r="AB245" s="1" t="s">
        <v>31</v>
      </c>
      <c r="AC245" s="1" t="s">
        <v>74</v>
      </c>
      <c r="AD245" s="1" t="s">
        <v>31</v>
      </c>
      <c r="AE245" s="5"/>
    </row>
    <row r="246" ht="14.25" customHeight="1">
      <c r="A246" s="1" t="s">
        <v>33</v>
      </c>
      <c r="B246" s="1">
        <v>1.1000439E7</v>
      </c>
      <c r="C246" s="1" t="str">
        <f>VLOOKUP(B246,Equipment!A$1:J$575,9,0)</f>
        <v>E</v>
      </c>
      <c r="D246" s="1" t="s">
        <v>3616</v>
      </c>
      <c r="E246" s="1" t="s">
        <v>3617</v>
      </c>
      <c r="F246" s="1" t="s">
        <v>894</v>
      </c>
      <c r="G246" s="1" t="s">
        <v>2819</v>
      </c>
      <c r="H246" s="1" t="s">
        <v>2576</v>
      </c>
      <c r="I246" s="1" t="s">
        <v>2576</v>
      </c>
      <c r="J246" s="1" t="s">
        <v>579</v>
      </c>
      <c r="K246" s="1" t="s">
        <v>3618</v>
      </c>
      <c r="L246" s="1">
        <v>0.75</v>
      </c>
      <c r="M246" s="1" t="s">
        <v>2576</v>
      </c>
      <c r="N246" s="1" t="s">
        <v>3620</v>
      </c>
      <c r="O246" s="1" t="s">
        <v>68</v>
      </c>
      <c r="P246" s="1">
        <v>1041.0</v>
      </c>
      <c r="Q246" s="1" t="s">
        <v>2576</v>
      </c>
      <c r="R246" s="1" t="s">
        <v>3618</v>
      </c>
      <c r="S246" s="1" t="s">
        <v>2660</v>
      </c>
      <c r="T246" s="1" t="s">
        <v>3621</v>
      </c>
      <c r="U246" s="1" t="s">
        <v>71</v>
      </c>
      <c r="V246" s="1" t="s">
        <v>72</v>
      </c>
      <c r="W246" s="1" t="s">
        <v>31</v>
      </c>
      <c r="X246" s="1" t="s">
        <v>31</v>
      </c>
      <c r="Y246" s="1" t="s">
        <v>73</v>
      </c>
      <c r="Z246" s="1" t="s">
        <v>51</v>
      </c>
      <c r="AA246" s="1" t="s">
        <v>31</v>
      </c>
      <c r="AB246" s="1" t="s">
        <v>31</v>
      </c>
      <c r="AC246" s="1" t="s">
        <v>74</v>
      </c>
      <c r="AD246" s="1" t="s">
        <v>31</v>
      </c>
      <c r="AE246" s="5"/>
    </row>
    <row r="247" ht="14.25" customHeight="1">
      <c r="A247" s="1" t="s">
        <v>33</v>
      </c>
      <c r="B247" s="1">
        <v>1.1000439E7</v>
      </c>
      <c r="C247" s="1" t="str">
        <f>VLOOKUP(B247,Equipment!A$1:J$575,9,0)</f>
        <v>E</v>
      </c>
      <c r="D247" s="1" t="s">
        <v>3622</v>
      </c>
      <c r="E247" s="1" t="s">
        <v>3623</v>
      </c>
      <c r="F247" s="1" t="s">
        <v>894</v>
      </c>
      <c r="G247" s="1" t="s">
        <v>3624</v>
      </c>
      <c r="H247" s="1" t="s">
        <v>2576</v>
      </c>
      <c r="I247" s="1" t="s">
        <v>2795</v>
      </c>
      <c r="J247" s="1" t="s">
        <v>3625</v>
      </c>
      <c r="K247" s="1" t="s">
        <v>3626</v>
      </c>
      <c r="L247" s="1">
        <v>0.5</v>
      </c>
      <c r="M247" s="1" t="s">
        <v>2576</v>
      </c>
      <c r="N247" s="1" t="s">
        <v>3627</v>
      </c>
      <c r="O247" s="1" t="s">
        <v>68</v>
      </c>
      <c r="P247" s="1">
        <v>1041.0</v>
      </c>
      <c r="Q247" s="1" t="s">
        <v>2795</v>
      </c>
      <c r="R247" s="1" t="s">
        <v>3626</v>
      </c>
      <c r="S247" s="1" t="s">
        <v>2758</v>
      </c>
      <c r="T247" s="1" t="s">
        <v>3628</v>
      </c>
      <c r="U247" s="1" t="s">
        <v>71</v>
      </c>
      <c r="V247" s="1" t="s">
        <v>72</v>
      </c>
      <c r="W247" s="1" t="s">
        <v>31</v>
      </c>
      <c r="X247" s="1" t="s">
        <v>2576</v>
      </c>
      <c r="Y247" s="1" t="s">
        <v>3628</v>
      </c>
      <c r="Z247" s="1" t="s">
        <v>51</v>
      </c>
      <c r="AA247" s="1" t="s">
        <v>31</v>
      </c>
      <c r="AB247" s="1" t="s">
        <v>31</v>
      </c>
      <c r="AC247" s="1" t="s">
        <v>74</v>
      </c>
      <c r="AD247" s="1" t="s">
        <v>31</v>
      </c>
      <c r="AE247" s="5"/>
    </row>
    <row r="248" ht="14.25" customHeight="1">
      <c r="A248" s="1" t="s">
        <v>33</v>
      </c>
      <c r="B248" s="1">
        <v>1.1000453E7</v>
      </c>
      <c r="C248" s="1" t="str">
        <f>VLOOKUP(B248,Equipment!A$1:J$575,9,0)</f>
        <v>E</v>
      </c>
      <c r="D248" s="1" t="s">
        <v>3630</v>
      </c>
      <c r="E248" s="1" t="s">
        <v>3631</v>
      </c>
      <c r="F248" s="1" t="s">
        <v>283</v>
      </c>
      <c r="G248" s="1" t="s">
        <v>3632</v>
      </c>
      <c r="H248" s="1" t="s">
        <v>2576</v>
      </c>
      <c r="I248" s="1" t="s">
        <v>2576</v>
      </c>
      <c r="J248" s="1" t="s">
        <v>1175</v>
      </c>
      <c r="K248" s="1" t="s">
        <v>3633</v>
      </c>
      <c r="L248" s="1">
        <v>0.75</v>
      </c>
      <c r="M248" s="1" t="s">
        <v>2576</v>
      </c>
      <c r="N248" s="1" t="s">
        <v>3634</v>
      </c>
      <c r="O248" s="1" t="s">
        <v>68</v>
      </c>
      <c r="P248" s="1">
        <v>1041.0</v>
      </c>
      <c r="Q248" s="1" t="s">
        <v>2576</v>
      </c>
      <c r="R248" s="1" t="s">
        <v>3633</v>
      </c>
      <c r="S248" s="1" t="s">
        <v>2660</v>
      </c>
      <c r="T248" s="1" t="s">
        <v>3635</v>
      </c>
      <c r="U248" s="1" t="s">
        <v>71</v>
      </c>
      <c r="V248" s="1" t="s">
        <v>72</v>
      </c>
      <c r="W248" s="1" t="s">
        <v>31</v>
      </c>
      <c r="X248" s="1" t="s">
        <v>31</v>
      </c>
      <c r="Y248" s="1" t="s">
        <v>73</v>
      </c>
      <c r="Z248" s="1" t="s">
        <v>51</v>
      </c>
      <c r="AA248" s="1" t="s">
        <v>31</v>
      </c>
      <c r="AB248" s="1" t="s">
        <v>31</v>
      </c>
      <c r="AC248" s="1" t="s">
        <v>74</v>
      </c>
      <c r="AD248" s="1" t="s">
        <v>31</v>
      </c>
      <c r="AE248" s="5"/>
    </row>
    <row r="249" ht="14.25" customHeight="1">
      <c r="A249" s="1" t="s">
        <v>33</v>
      </c>
      <c r="B249" s="1">
        <v>1.1000454E7</v>
      </c>
      <c r="C249" s="1" t="str">
        <f>VLOOKUP(B249,Equipment!A$1:J$575,9,0)</f>
        <v>E</v>
      </c>
      <c r="D249" s="1" t="s">
        <v>3639</v>
      </c>
      <c r="E249" s="1" t="s">
        <v>3640</v>
      </c>
      <c r="F249" s="1" t="s">
        <v>294</v>
      </c>
      <c r="G249" s="1" t="s">
        <v>3641</v>
      </c>
      <c r="H249" s="1" t="s">
        <v>2576</v>
      </c>
      <c r="I249" s="1" t="s">
        <v>2576</v>
      </c>
      <c r="J249" s="1" t="s">
        <v>898</v>
      </c>
      <c r="K249" s="1" t="s">
        <v>3642</v>
      </c>
      <c r="L249" s="1">
        <v>0.67</v>
      </c>
      <c r="M249" s="1" t="s">
        <v>2576</v>
      </c>
      <c r="N249" s="1" t="s">
        <v>3643</v>
      </c>
      <c r="O249" s="1" t="s">
        <v>68</v>
      </c>
      <c r="P249" s="1">
        <v>1041.0</v>
      </c>
      <c r="Q249" s="1" t="s">
        <v>2576</v>
      </c>
      <c r="R249" s="1" t="s">
        <v>3642</v>
      </c>
      <c r="S249" s="1" t="s">
        <v>2660</v>
      </c>
      <c r="T249" s="1" t="s">
        <v>3645</v>
      </c>
      <c r="U249" s="1" t="s">
        <v>71</v>
      </c>
      <c r="V249" s="1" t="s">
        <v>72</v>
      </c>
      <c r="W249" s="1" t="s">
        <v>31</v>
      </c>
      <c r="X249" s="1" t="s">
        <v>31</v>
      </c>
      <c r="Y249" s="1" t="s">
        <v>73</v>
      </c>
      <c r="Z249" s="1" t="s">
        <v>51</v>
      </c>
      <c r="AA249" s="1" t="s">
        <v>31</v>
      </c>
      <c r="AB249" s="1" t="s">
        <v>31</v>
      </c>
      <c r="AC249" s="1" t="s">
        <v>74</v>
      </c>
      <c r="AD249" s="1" t="s">
        <v>31</v>
      </c>
      <c r="AE249" s="5"/>
    </row>
    <row r="250" ht="14.25" customHeight="1">
      <c r="A250" s="1" t="s">
        <v>33</v>
      </c>
      <c r="B250" s="1">
        <v>1.1000454E7</v>
      </c>
      <c r="C250" s="1" t="str">
        <f>VLOOKUP(B250,Equipment!A$1:J$575,9,0)</f>
        <v>E</v>
      </c>
      <c r="D250" s="1" t="s">
        <v>31</v>
      </c>
      <c r="E250" s="1" t="s">
        <v>3647</v>
      </c>
      <c r="F250" s="1" t="s">
        <v>294</v>
      </c>
      <c r="G250" s="1" t="s">
        <v>3648</v>
      </c>
      <c r="H250" s="1" t="s">
        <v>2576</v>
      </c>
      <c r="I250" s="1" t="s">
        <v>31</v>
      </c>
      <c r="J250" s="1" t="s">
        <v>3649</v>
      </c>
      <c r="K250" s="1" t="s">
        <v>73</v>
      </c>
      <c r="L250" s="1">
        <v>0.0</v>
      </c>
      <c r="M250" s="1" t="s">
        <v>2576</v>
      </c>
      <c r="N250" s="1" t="s">
        <v>3649</v>
      </c>
      <c r="O250" s="1" t="s">
        <v>68</v>
      </c>
      <c r="P250" s="1">
        <v>1041.0</v>
      </c>
      <c r="Q250" s="1" t="s">
        <v>2576</v>
      </c>
      <c r="R250" s="1" t="s">
        <v>3652</v>
      </c>
      <c r="S250" s="1" t="s">
        <v>2660</v>
      </c>
      <c r="T250" s="1" t="s">
        <v>3654</v>
      </c>
      <c r="U250" s="1" t="s">
        <v>71</v>
      </c>
      <c r="V250" s="1" t="s">
        <v>72</v>
      </c>
      <c r="W250" s="1" t="s">
        <v>31</v>
      </c>
      <c r="X250" s="1" t="s">
        <v>31</v>
      </c>
      <c r="Y250" s="1" t="s">
        <v>73</v>
      </c>
      <c r="Z250" s="1" t="s">
        <v>51</v>
      </c>
      <c r="AA250" s="1" t="s">
        <v>31</v>
      </c>
      <c r="AB250" s="1" t="s">
        <v>31</v>
      </c>
      <c r="AC250" s="1" t="s">
        <v>74</v>
      </c>
      <c r="AD250" s="1" t="s">
        <v>31</v>
      </c>
      <c r="AE250" s="5"/>
    </row>
    <row r="251" ht="14.25" customHeight="1">
      <c r="A251" s="1" t="s">
        <v>33</v>
      </c>
      <c r="B251" s="1">
        <v>1.1000482E7</v>
      </c>
      <c r="C251" s="1" t="str">
        <f>VLOOKUP(B251,Equipment!A$1:J$575,9,0)</f>
        <v>E</v>
      </c>
      <c r="D251" s="1" t="s">
        <v>3656</v>
      </c>
      <c r="E251" s="1" t="s">
        <v>3657</v>
      </c>
      <c r="F251" s="1" t="s">
        <v>100</v>
      </c>
      <c r="G251" s="1" t="s">
        <v>3658</v>
      </c>
      <c r="H251" s="1" t="s">
        <v>2576</v>
      </c>
      <c r="I251" s="1" t="s">
        <v>2576</v>
      </c>
      <c r="J251" s="1" t="s">
        <v>3659</v>
      </c>
      <c r="K251" s="1" t="s">
        <v>3660</v>
      </c>
      <c r="L251" s="1">
        <v>0.68</v>
      </c>
      <c r="M251" s="1" t="s">
        <v>2576</v>
      </c>
      <c r="N251" s="1" t="s">
        <v>3659</v>
      </c>
      <c r="O251" s="1" t="s">
        <v>68</v>
      </c>
      <c r="P251" s="1">
        <v>1041.0</v>
      </c>
      <c r="Q251" s="1" t="s">
        <v>2576</v>
      </c>
      <c r="R251" s="1" t="s">
        <v>3660</v>
      </c>
      <c r="S251" s="1" t="s">
        <v>2660</v>
      </c>
      <c r="T251" s="1" t="s">
        <v>3665</v>
      </c>
      <c r="U251" s="1" t="s">
        <v>71</v>
      </c>
      <c r="V251" s="1" t="s">
        <v>72</v>
      </c>
      <c r="W251" s="1" t="s">
        <v>31</v>
      </c>
      <c r="X251" s="1" t="s">
        <v>31</v>
      </c>
      <c r="Y251" s="1" t="s">
        <v>73</v>
      </c>
      <c r="Z251" s="1" t="s">
        <v>51</v>
      </c>
      <c r="AA251" s="1" t="s">
        <v>31</v>
      </c>
      <c r="AB251" s="1" t="s">
        <v>31</v>
      </c>
      <c r="AC251" s="1" t="s">
        <v>74</v>
      </c>
      <c r="AD251" s="1" t="s">
        <v>31</v>
      </c>
      <c r="AE251" s="5"/>
    </row>
    <row r="252" ht="14.25" customHeight="1">
      <c r="A252" s="1" t="s">
        <v>33</v>
      </c>
      <c r="B252" s="1">
        <v>1.1000485E7</v>
      </c>
      <c r="C252" s="1" t="str">
        <f>VLOOKUP(B252,Equipment!A$1:J$575,9,0)</f>
        <v>E</v>
      </c>
      <c r="D252" s="1" t="s">
        <v>3670</v>
      </c>
      <c r="E252" s="1" t="s">
        <v>3671</v>
      </c>
      <c r="F252" s="1" t="s">
        <v>849</v>
      </c>
      <c r="G252" s="1" t="s">
        <v>3672</v>
      </c>
      <c r="H252" s="1" t="s">
        <v>2576</v>
      </c>
      <c r="I252" s="1" t="s">
        <v>2576</v>
      </c>
      <c r="J252" s="1" t="s">
        <v>2142</v>
      </c>
      <c r="K252" s="1" t="s">
        <v>3673</v>
      </c>
      <c r="L252" s="1">
        <v>1.0</v>
      </c>
      <c r="M252" s="1" t="s">
        <v>2576</v>
      </c>
      <c r="N252" s="1" t="s">
        <v>3674</v>
      </c>
      <c r="O252" s="1" t="s">
        <v>68</v>
      </c>
      <c r="P252" s="1">
        <v>1041.0</v>
      </c>
      <c r="Q252" s="1" t="s">
        <v>2576</v>
      </c>
      <c r="R252" s="1" t="s">
        <v>3673</v>
      </c>
      <c r="S252" s="1" t="s">
        <v>2660</v>
      </c>
      <c r="T252" s="1" t="s">
        <v>3676</v>
      </c>
      <c r="U252" s="1" t="s">
        <v>71</v>
      </c>
      <c r="V252" s="1" t="s">
        <v>72</v>
      </c>
      <c r="W252" s="1" t="s">
        <v>31</v>
      </c>
      <c r="X252" s="1" t="s">
        <v>31</v>
      </c>
      <c r="Y252" s="1" t="s">
        <v>73</v>
      </c>
      <c r="Z252" s="1" t="s">
        <v>51</v>
      </c>
      <c r="AA252" s="1" t="s">
        <v>31</v>
      </c>
      <c r="AB252" s="1" t="s">
        <v>31</v>
      </c>
      <c r="AC252" s="1" t="s">
        <v>74</v>
      </c>
      <c r="AD252" s="1" t="s">
        <v>31</v>
      </c>
      <c r="AE252" s="5"/>
    </row>
    <row r="253" ht="14.25" customHeight="1">
      <c r="A253" s="1" t="s">
        <v>33</v>
      </c>
      <c r="B253" s="1">
        <v>1.1000493E7</v>
      </c>
      <c r="C253" s="1" t="str">
        <f>VLOOKUP(B253,Equipment!A$1:J$575,9,0)</f>
        <v>E</v>
      </c>
      <c r="D253" s="1" t="s">
        <v>3720</v>
      </c>
      <c r="E253" s="1" t="s">
        <v>3721</v>
      </c>
      <c r="F253" s="1" t="s">
        <v>206</v>
      </c>
      <c r="G253" s="1" t="s">
        <v>3722</v>
      </c>
      <c r="H253" s="1" t="s">
        <v>2576</v>
      </c>
      <c r="I253" s="1" t="s">
        <v>2576</v>
      </c>
      <c r="J253" s="1" t="s">
        <v>955</v>
      </c>
      <c r="K253" s="1" t="s">
        <v>3723</v>
      </c>
      <c r="L253" s="1">
        <v>1.5</v>
      </c>
      <c r="M253" s="1" t="s">
        <v>2576</v>
      </c>
      <c r="N253" s="1" t="s">
        <v>3725</v>
      </c>
      <c r="O253" s="1" t="s">
        <v>68</v>
      </c>
      <c r="P253" s="1">
        <v>1041.0</v>
      </c>
      <c r="Q253" s="1" t="s">
        <v>2576</v>
      </c>
      <c r="R253" s="1" t="s">
        <v>3723</v>
      </c>
      <c r="S253" s="1" t="s">
        <v>2660</v>
      </c>
      <c r="T253" s="1" t="s">
        <v>3726</v>
      </c>
      <c r="U253" s="1" t="s">
        <v>71</v>
      </c>
      <c r="V253" s="1" t="s">
        <v>72</v>
      </c>
      <c r="W253" s="1" t="s">
        <v>31</v>
      </c>
      <c r="X253" s="1" t="s">
        <v>31</v>
      </c>
      <c r="Y253" s="1" t="s">
        <v>73</v>
      </c>
      <c r="Z253" s="1" t="s">
        <v>51</v>
      </c>
      <c r="AA253" s="1" t="s">
        <v>31</v>
      </c>
      <c r="AB253" s="1" t="s">
        <v>31</v>
      </c>
      <c r="AC253" s="1" t="s">
        <v>74</v>
      </c>
      <c r="AD253" s="1" t="s">
        <v>31</v>
      </c>
      <c r="AE253" s="5"/>
    </row>
    <row r="254" ht="14.25" customHeight="1">
      <c r="A254" s="1" t="s">
        <v>33</v>
      </c>
      <c r="B254" s="1">
        <v>1.1000511E7</v>
      </c>
      <c r="C254" s="1" t="str">
        <f>VLOOKUP(B254,Equipment!A$1:J$575,9,0)</f>
        <v>E</v>
      </c>
      <c r="D254" s="1" t="s">
        <v>3729</v>
      </c>
      <c r="E254" s="1" t="s">
        <v>3730</v>
      </c>
      <c r="F254" s="1" t="s">
        <v>1095</v>
      </c>
      <c r="G254" s="1" t="s">
        <v>3731</v>
      </c>
      <c r="H254" s="1" t="s">
        <v>2576</v>
      </c>
      <c r="I254" s="1" t="s">
        <v>2795</v>
      </c>
      <c r="J254" s="1" t="s">
        <v>2142</v>
      </c>
      <c r="K254" s="1" t="s">
        <v>3733</v>
      </c>
      <c r="L254" s="1">
        <v>0.67</v>
      </c>
      <c r="M254" s="1" t="s">
        <v>2576</v>
      </c>
      <c r="N254" s="1" t="s">
        <v>3734</v>
      </c>
      <c r="O254" s="1" t="s">
        <v>121</v>
      </c>
      <c r="P254" s="1">
        <v>1041.0</v>
      </c>
      <c r="Q254" s="1" t="s">
        <v>2795</v>
      </c>
      <c r="R254" s="1" t="s">
        <v>3733</v>
      </c>
      <c r="S254" s="1" t="s">
        <v>2660</v>
      </c>
      <c r="T254" s="1" t="s">
        <v>3735</v>
      </c>
      <c r="U254" s="1" t="s">
        <v>71</v>
      </c>
      <c r="V254" s="1" t="s">
        <v>72</v>
      </c>
      <c r="W254" s="1" t="s">
        <v>31</v>
      </c>
      <c r="X254" s="1" t="s">
        <v>31</v>
      </c>
      <c r="Y254" s="1" t="s">
        <v>73</v>
      </c>
      <c r="Z254" s="1" t="s">
        <v>51</v>
      </c>
      <c r="AA254" s="1" t="s">
        <v>31</v>
      </c>
      <c r="AB254" s="1" t="s">
        <v>31</v>
      </c>
      <c r="AC254" s="1" t="s">
        <v>656</v>
      </c>
      <c r="AD254" s="1" t="s">
        <v>31</v>
      </c>
      <c r="AE254" s="5"/>
    </row>
    <row r="255" ht="14.25" customHeight="1">
      <c r="A255" s="1" t="s">
        <v>33</v>
      </c>
      <c r="B255" s="1">
        <v>1.1000227E7</v>
      </c>
      <c r="C255" s="1" t="str">
        <f>VLOOKUP(B255,Equipment!A$1:J$575,9,0)</f>
        <v>E</v>
      </c>
      <c r="D255" s="1" t="s">
        <v>3742</v>
      </c>
      <c r="E255" s="1" t="s">
        <v>3743</v>
      </c>
      <c r="F255" s="1" t="s">
        <v>326</v>
      </c>
      <c r="G255" s="1" t="s">
        <v>3744</v>
      </c>
      <c r="H255" s="1" t="s">
        <v>2576</v>
      </c>
      <c r="I255" s="1" t="s">
        <v>2576</v>
      </c>
      <c r="J255" s="1" t="s">
        <v>3745</v>
      </c>
      <c r="K255" s="1" t="s">
        <v>3746</v>
      </c>
      <c r="L255" s="1">
        <v>1.67</v>
      </c>
      <c r="M255" s="1" t="s">
        <v>2576</v>
      </c>
      <c r="N255" s="1" t="s">
        <v>3745</v>
      </c>
      <c r="O255" s="1" t="s">
        <v>121</v>
      </c>
      <c r="P255" s="1">
        <v>2001.0</v>
      </c>
      <c r="Q255" s="1" t="s">
        <v>2576</v>
      </c>
      <c r="R255" s="1" t="s">
        <v>3748</v>
      </c>
      <c r="S255" s="1" t="s">
        <v>31</v>
      </c>
      <c r="T255" s="1" t="s">
        <v>73</v>
      </c>
      <c r="U255" s="1" t="s">
        <v>71</v>
      </c>
      <c r="V255" s="1" t="s">
        <v>72</v>
      </c>
      <c r="W255" s="1" t="s">
        <v>31</v>
      </c>
      <c r="X255" s="1" t="s">
        <v>2660</v>
      </c>
      <c r="Y255" s="1" t="s">
        <v>3753</v>
      </c>
      <c r="Z255" s="1" t="s">
        <v>51</v>
      </c>
      <c r="AA255" s="1" t="s">
        <v>31</v>
      </c>
      <c r="AB255" s="1" t="s">
        <v>31</v>
      </c>
      <c r="AC255" s="1" t="s">
        <v>331</v>
      </c>
      <c r="AD255" s="1" t="s">
        <v>31</v>
      </c>
      <c r="AE255" s="5"/>
    </row>
    <row r="256" ht="14.25" customHeight="1">
      <c r="A256" s="1" t="s">
        <v>33</v>
      </c>
      <c r="B256" s="1">
        <v>1.1000302E7</v>
      </c>
      <c r="C256" s="1" t="str">
        <f>VLOOKUP(B256,Equipment!A$1:J$575,9,0)</f>
        <v>E</v>
      </c>
      <c r="D256" s="1" t="s">
        <v>3757</v>
      </c>
      <c r="E256" s="1" t="s">
        <v>3758</v>
      </c>
      <c r="F256" s="1" t="s">
        <v>337</v>
      </c>
      <c r="G256" s="1" t="s">
        <v>2971</v>
      </c>
      <c r="H256" s="1" t="s">
        <v>2576</v>
      </c>
      <c r="I256" s="1" t="s">
        <v>2576</v>
      </c>
      <c r="J256" s="1" t="s">
        <v>119</v>
      </c>
      <c r="K256" s="1" t="s">
        <v>339</v>
      </c>
      <c r="L256" s="1">
        <v>1.5</v>
      </c>
      <c r="M256" s="1" t="s">
        <v>2576</v>
      </c>
      <c r="N256" s="1" t="s">
        <v>119</v>
      </c>
      <c r="O256" s="1" t="s">
        <v>131</v>
      </c>
      <c r="P256" s="1">
        <v>2001.0</v>
      </c>
      <c r="Q256" s="1" t="s">
        <v>2576</v>
      </c>
      <c r="R256" s="1" t="s">
        <v>339</v>
      </c>
      <c r="S256" s="1" t="s">
        <v>31</v>
      </c>
      <c r="T256" s="1" t="s">
        <v>73</v>
      </c>
      <c r="U256" s="1" t="s">
        <v>71</v>
      </c>
      <c r="V256" s="1" t="s">
        <v>72</v>
      </c>
      <c r="W256" s="1" t="s">
        <v>31</v>
      </c>
      <c r="X256" s="1" t="s">
        <v>2576</v>
      </c>
      <c r="Y256" s="1" t="s">
        <v>3762</v>
      </c>
      <c r="Z256" s="1" t="s">
        <v>51</v>
      </c>
      <c r="AA256" s="1" t="s">
        <v>31</v>
      </c>
      <c r="AB256" s="1" t="s">
        <v>31</v>
      </c>
      <c r="AC256" s="1" t="s">
        <v>137</v>
      </c>
      <c r="AD256" s="1" t="s">
        <v>31</v>
      </c>
      <c r="AE256" s="5"/>
    </row>
    <row r="257" ht="14.25" customHeight="1">
      <c r="A257" s="1" t="s">
        <v>33</v>
      </c>
      <c r="B257" s="1">
        <v>1.1000303E7</v>
      </c>
      <c r="C257" s="1" t="str">
        <f>VLOOKUP(B257,Equipment!A$1:J$575,9,0)</f>
        <v>E</v>
      </c>
      <c r="D257" s="1" t="s">
        <v>3765</v>
      </c>
      <c r="E257" s="1" t="s">
        <v>3766</v>
      </c>
      <c r="F257" s="1" t="s">
        <v>621</v>
      </c>
      <c r="G257" s="1" t="s">
        <v>3767</v>
      </c>
      <c r="H257" s="1" t="s">
        <v>2576</v>
      </c>
      <c r="I257" s="1" t="s">
        <v>2576</v>
      </c>
      <c r="J257" s="1" t="s">
        <v>3768</v>
      </c>
      <c r="K257" s="1" t="s">
        <v>3769</v>
      </c>
      <c r="L257" s="1">
        <v>1.0</v>
      </c>
      <c r="M257" s="1" t="s">
        <v>2576</v>
      </c>
      <c r="N257" s="1" t="s">
        <v>3768</v>
      </c>
      <c r="O257" s="1" t="s">
        <v>1176</v>
      </c>
      <c r="P257" s="1">
        <v>2001.0</v>
      </c>
      <c r="Q257" s="1" t="s">
        <v>2576</v>
      </c>
      <c r="R257" s="1" t="s">
        <v>3769</v>
      </c>
      <c r="S257" s="1" t="s">
        <v>31</v>
      </c>
      <c r="T257" s="1" t="s">
        <v>73</v>
      </c>
      <c r="U257" s="1" t="s">
        <v>71</v>
      </c>
      <c r="V257" s="1" t="s">
        <v>72</v>
      </c>
      <c r="W257" s="1" t="s">
        <v>31</v>
      </c>
      <c r="X257" s="1" t="s">
        <v>2576</v>
      </c>
      <c r="Y257" s="1" t="s">
        <v>3768</v>
      </c>
      <c r="Z257" s="1" t="s">
        <v>51</v>
      </c>
      <c r="AA257" s="1" t="s">
        <v>31</v>
      </c>
      <c r="AB257" s="1" t="s">
        <v>31</v>
      </c>
      <c r="AC257" s="1" t="s">
        <v>1179</v>
      </c>
      <c r="AD257" s="1" t="s">
        <v>31</v>
      </c>
      <c r="AE257" s="5"/>
    </row>
    <row r="258" ht="14.25" customHeight="1">
      <c r="A258" s="1" t="s">
        <v>33</v>
      </c>
      <c r="B258" s="1">
        <v>1.1000316E7</v>
      </c>
      <c r="C258" s="1" t="str">
        <f>VLOOKUP(B258,Equipment!A$1:J$575,9,0)</f>
        <v>E</v>
      </c>
      <c r="D258" s="1" t="s">
        <v>3776</v>
      </c>
      <c r="E258" s="1" t="s">
        <v>3777</v>
      </c>
      <c r="F258" s="1" t="s">
        <v>488</v>
      </c>
      <c r="G258" s="1" t="s">
        <v>3778</v>
      </c>
      <c r="H258" s="1" t="s">
        <v>2576</v>
      </c>
      <c r="I258" s="1" t="s">
        <v>2576</v>
      </c>
      <c r="J258" s="1" t="s">
        <v>341</v>
      </c>
      <c r="K258" s="1" t="s">
        <v>348</v>
      </c>
      <c r="L258" s="1">
        <v>1.0</v>
      </c>
      <c r="M258" s="1" t="s">
        <v>2576</v>
      </c>
      <c r="N258" s="1" t="s">
        <v>341</v>
      </c>
      <c r="O258" s="1" t="s">
        <v>491</v>
      </c>
      <c r="P258" s="1">
        <v>2001.0</v>
      </c>
      <c r="Q258" s="1" t="s">
        <v>2576</v>
      </c>
      <c r="R258" s="1" t="s">
        <v>348</v>
      </c>
      <c r="S258" s="1" t="s">
        <v>31</v>
      </c>
      <c r="T258" s="1" t="s">
        <v>73</v>
      </c>
      <c r="U258" s="1" t="s">
        <v>71</v>
      </c>
      <c r="V258" s="1" t="s">
        <v>72</v>
      </c>
      <c r="W258" s="1" t="s">
        <v>31</v>
      </c>
      <c r="X258" s="1" t="s">
        <v>2576</v>
      </c>
      <c r="Y258" s="1" t="s">
        <v>3782</v>
      </c>
      <c r="Z258" s="1" t="s">
        <v>51</v>
      </c>
      <c r="AA258" s="1" t="s">
        <v>31</v>
      </c>
      <c r="AB258" s="1" t="s">
        <v>31</v>
      </c>
      <c r="AC258" s="1" t="s">
        <v>496</v>
      </c>
      <c r="AD258" s="1" t="s">
        <v>31</v>
      </c>
      <c r="AE258" s="5"/>
    </row>
    <row r="259" ht="14.25" customHeight="1">
      <c r="A259" s="1" t="s">
        <v>33</v>
      </c>
      <c r="B259" s="1">
        <v>1.1000322E7</v>
      </c>
      <c r="C259" s="1" t="str">
        <f>VLOOKUP(B259,Equipment!A$1:J$575,9,0)</f>
        <v>E</v>
      </c>
      <c r="D259" s="1" t="s">
        <v>3788</v>
      </c>
      <c r="E259" s="1" t="s">
        <v>3789</v>
      </c>
      <c r="F259" s="1" t="s">
        <v>127</v>
      </c>
      <c r="G259" s="1" t="s">
        <v>3791</v>
      </c>
      <c r="H259" s="1" t="s">
        <v>2576</v>
      </c>
      <c r="I259" s="1" t="s">
        <v>2576</v>
      </c>
      <c r="J259" s="1" t="s">
        <v>469</v>
      </c>
      <c r="K259" s="1" t="s">
        <v>3794</v>
      </c>
      <c r="L259" s="1">
        <v>0.84</v>
      </c>
      <c r="M259" s="1" t="s">
        <v>2576</v>
      </c>
      <c r="N259" s="1" t="s">
        <v>469</v>
      </c>
      <c r="O259" s="1" t="s">
        <v>131</v>
      </c>
      <c r="P259" s="1">
        <v>2001.0</v>
      </c>
      <c r="Q259" s="1" t="s">
        <v>2576</v>
      </c>
      <c r="R259" s="1" t="s">
        <v>3794</v>
      </c>
      <c r="S259" s="1" t="s">
        <v>31</v>
      </c>
      <c r="T259" s="1" t="s">
        <v>73</v>
      </c>
      <c r="U259" s="1" t="s">
        <v>71</v>
      </c>
      <c r="V259" s="1" t="s">
        <v>72</v>
      </c>
      <c r="W259" s="1" t="s">
        <v>31</v>
      </c>
      <c r="X259" s="1" t="s">
        <v>2576</v>
      </c>
      <c r="Y259" s="1" t="s">
        <v>3795</v>
      </c>
      <c r="Z259" s="1" t="s">
        <v>51</v>
      </c>
      <c r="AA259" s="1" t="s">
        <v>31</v>
      </c>
      <c r="AB259" s="1" t="s">
        <v>31</v>
      </c>
      <c r="AC259" s="1" t="s">
        <v>137</v>
      </c>
      <c r="AD259" s="1" t="s">
        <v>31</v>
      </c>
      <c r="AE259" s="5"/>
    </row>
    <row r="260" ht="14.25" customHeight="1">
      <c r="A260" s="1" t="s">
        <v>33</v>
      </c>
      <c r="B260" s="1">
        <v>1.1000578E7</v>
      </c>
      <c r="C260" s="1" t="str">
        <f>VLOOKUP(B260,Equipment!A$1:J$575,9,0)</f>
        <v>E</v>
      </c>
      <c r="D260" s="1" t="s">
        <v>3807</v>
      </c>
      <c r="E260" s="1" t="s">
        <v>3808</v>
      </c>
      <c r="F260" s="1" t="s">
        <v>237</v>
      </c>
      <c r="G260" s="1" t="s">
        <v>3810</v>
      </c>
      <c r="H260" s="1" t="s">
        <v>1212</v>
      </c>
      <c r="I260" s="1" t="s">
        <v>1212</v>
      </c>
      <c r="J260" s="1" t="s">
        <v>3811</v>
      </c>
      <c r="K260" s="1" t="s">
        <v>3813</v>
      </c>
      <c r="L260" s="1">
        <v>3.13</v>
      </c>
      <c r="M260" s="1" t="s">
        <v>1212</v>
      </c>
      <c r="N260" s="1" t="s">
        <v>3815</v>
      </c>
      <c r="O260" s="1" t="s">
        <v>223</v>
      </c>
      <c r="P260" s="1">
        <v>1031.0</v>
      </c>
      <c r="Q260" s="1" t="s">
        <v>1212</v>
      </c>
      <c r="R260" s="1" t="s">
        <v>3813</v>
      </c>
      <c r="S260" s="1" t="s">
        <v>31</v>
      </c>
      <c r="T260" s="1" t="s">
        <v>73</v>
      </c>
      <c r="U260" s="1" t="s">
        <v>71</v>
      </c>
      <c r="V260" s="1" t="s">
        <v>72</v>
      </c>
      <c r="W260" s="1" t="s">
        <v>31</v>
      </c>
      <c r="X260" s="1" t="s">
        <v>1212</v>
      </c>
      <c r="Y260" s="1" t="s">
        <v>3815</v>
      </c>
      <c r="Z260" s="1" t="s">
        <v>51</v>
      </c>
      <c r="AA260" s="1" t="s">
        <v>31</v>
      </c>
      <c r="AB260" s="1" t="s">
        <v>31</v>
      </c>
      <c r="AC260" s="1" t="s">
        <v>227</v>
      </c>
      <c r="AD260" s="1" t="s">
        <v>31</v>
      </c>
      <c r="AE260" s="5"/>
    </row>
    <row r="261" ht="14.25" customHeight="1">
      <c r="A261" s="1" t="s">
        <v>33</v>
      </c>
      <c r="B261" s="1">
        <v>1.1000389E7</v>
      </c>
      <c r="C261" s="1" t="str">
        <f>VLOOKUP(B261,Equipment!A$1:J$575,9,0)</f>
        <v>E</v>
      </c>
      <c r="D261" s="1" t="s">
        <v>3818</v>
      </c>
      <c r="E261" s="1" t="s">
        <v>3819</v>
      </c>
      <c r="F261" s="1" t="s">
        <v>60</v>
      </c>
      <c r="G261" s="1" t="s">
        <v>2832</v>
      </c>
      <c r="H261" s="1" t="s">
        <v>1212</v>
      </c>
      <c r="I261" s="1" t="s">
        <v>31</v>
      </c>
      <c r="J261" s="1" t="s">
        <v>3820</v>
      </c>
      <c r="K261" s="1" t="s">
        <v>73</v>
      </c>
      <c r="L261" s="1">
        <v>0.0</v>
      </c>
      <c r="M261" s="1" t="s">
        <v>1212</v>
      </c>
      <c r="N261" s="1" t="s">
        <v>3820</v>
      </c>
      <c r="O261" s="1" t="s">
        <v>68</v>
      </c>
      <c r="P261" s="1">
        <v>1041.0</v>
      </c>
      <c r="Q261" s="1" t="s">
        <v>1212</v>
      </c>
      <c r="R261" s="1" t="s">
        <v>3821</v>
      </c>
      <c r="S261" s="1" t="s">
        <v>1027</v>
      </c>
      <c r="T261" s="1" t="s">
        <v>3822</v>
      </c>
      <c r="U261" s="1" t="s">
        <v>71</v>
      </c>
      <c r="V261" s="1" t="s">
        <v>72</v>
      </c>
      <c r="W261" s="1" t="s">
        <v>31</v>
      </c>
      <c r="X261" s="1" t="s">
        <v>31</v>
      </c>
      <c r="Y261" s="1" t="s">
        <v>73</v>
      </c>
      <c r="Z261" s="1" t="s">
        <v>51</v>
      </c>
      <c r="AA261" s="1" t="s">
        <v>31</v>
      </c>
      <c r="AB261" s="1" t="s">
        <v>31</v>
      </c>
      <c r="AC261" s="1" t="s">
        <v>74</v>
      </c>
      <c r="AD261" s="1" t="s">
        <v>31</v>
      </c>
      <c r="AE261" s="5"/>
    </row>
    <row r="262" ht="14.25" customHeight="1">
      <c r="A262" s="1" t="s">
        <v>33</v>
      </c>
      <c r="B262" s="1">
        <v>1.1000389E7</v>
      </c>
      <c r="C262" s="1" t="str">
        <f>VLOOKUP(B262,Equipment!A$1:J$575,9,0)</f>
        <v>E</v>
      </c>
      <c r="D262" s="1" t="s">
        <v>3824</v>
      </c>
      <c r="E262" s="1" t="s">
        <v>3825</v>
      </c>
      <c r="F262" s="1" t="s">
        <v>60</v>
      </c>
      <c r="G262" s="1" t="s">
        <v>3826</v>
      </c>
      <c r="H262" s="1" t="s">
        <v>1212</v>
      </c>
      <c r="I262" s="1" t="s">
        <v>31</v>
      </c>
      <c r="J262" s="1" t="s">
        <v>3827</v>
      </c>
      <c r="K262" s="1" t="s">
        <v>73</v>
      </c>
      <c r="L262" s="1">
        <v>0.0</v>
      </c>
      <c r="M262" s="1" t="s">
        <v>1212</v>
      </c>
      <c r="N262" s="1" t="s">
        <v>3828</v>
      </c>
      <c r="O262" s="1" t="s">
        <v>68</v>
      </c>
      <c r="P262" s="1">
        <v>1041.0</v>
      </c>
      <c r="Q262" s="1" t="s">
        <v>1212</v>
      </c>
      <c r="R262" s="1" t="s">
        <v>3829</v>
      </c>
      <c r="S262" s="1" t="s">
        <v>1027</v>
      </c>
      <c r="T262" s="1" t="s">
        <v>3830</v>
      </c>
      <c r="U262" s="1" t="s">
        <v>71</v>
      </c>
      <c r="V262" s="1" t="s">
        <v>72</v>
      </c>
      <c r="W262" s="1" t="s">
        <v>31</v>
      </c>
      <c r="X262" s="1" t="s">
        <v>1212</v>
      </c>
      <c r="Y262" s="1" t="s">
        <v>3830</v>
      </c>
      <c r="Z262" s="1" t="s">
        <v>51</v>
      </c>
      <c r="AA262" s="1" t="s">
        <v>31</v>
      </c>
      <c r="AB262" s="1" t="s">
        <v>31</v>
      </c>
      <c r="AC262" s="1" t="s">
        <v>74</v>
      </c>
      <c r="AD262" s="1" t="s">
        <v>31</v>
      </c>
      <c r="AE262" s="5"/>
    </row>
    <row r="263" ht="14.25" customHeight="1">
      <c r="A263" s="1" t="s">
        <v>33</v>
      </c>
      <c r="B263" s="1">
        <v>1.100039E7</v>
      </c>
      <c r="C263" s="1" t="str">
        <f>VLOOKUP(B263,Equipment!A$1:J$575,9,0)</f>
        <v>E</v>
      </c>
      <c r="D263" s="1" t="s">
        <v>3832</v>
      </c>
      <c r="E263" s="1" t="s">
        <v>3833</v>
      </c>
      <c r="F263" s="1" t="s">
        <v>608</v>
      </c>
      <c r="G263" s="1" t="s">
        <v>3834</v>
      </c>
      <c r="H263" s="1" t="s">
        <v>1212</v>
      </c>
      <c r="I263" s="1" t="s">
        <v>1212</v>
      </c>
      <c r="J263" s="1" t="s">
        <v>2774</v>
      </c>
      <c r="K263" s="1" t="s">
        <v>3836</v>
      </c>
      <c r="L263" s="1">
        <v>0.33</v>
      </c>
      <c r="M263" s="1" t="s">
        <v>1212</v>
      </c>
      <c r="N263" s="1" t="s">
        <v>3837</v>
      </c>
      <c r="O263" s="1" t="s">
        <v>68</v>
      </c>
      <c r="P263" s="1">
        <v>1041.0</v>
      </c>
      <c r="Q263" s="1" t="s">
        <v>1212</v>
      </c>
      <c r="R263" s="1" t="s">
        <v>3836</v>
      </c>
      <c r="S263" s="1" t="s">
        <v>1027</v>
      </c>
      <c r="T263" s="1" t="s">
        <v>3838</v>
      </c>
      <c r="U263" s="1" t="s">
        <v>71</v>
      </c>
      <c r="V263" s="1" t="s">
        <v>72</v>
      </c>
      <c r="W263" s="1" t="s">
        <v>31</v>
      </c>
      <c r="X263" s="1" t="s">
        <v>1212</v>
      </c>
      <c r="Y263" s="1" t="s">
        <v>3838</v>
      </c>
      <c r="Z263" s="1" t="s">
        <v>51</v>
      </c>
      <c r="AA263" s="1" t="s">
        <v>31</v>
      </c>
      <c r="AB263" s="1" t="s">
        <v>31</v>
      </c>
      <c r="AC263" s="1" t="s">
        <v>74</v>
      </c>
      <c r="AD263" s="1" t="s">
        <v>31</v>
      </c>
      <c r="AE263" s="5"/>
    </row>
    <row r="264" ht="14.25" customHeight="1">
      <c r="A264" s="1" t="s">
        <v>33</v>
      </c>
      <c r="B264" s="1">
        <v>1.100039E7</v>
      </c>
      <c r="C264" s="1" t="str">
        <f>VLOOKUP(B264,Equipment!A$1:J$575,9,0)</f>
        <v>E</v>
      </c>
      <c r="D264" s="1" t="s">
        <v>3840</v>
      </c>
      <c r="E264" s="1" t="s">
        <v>3841</v>
      </c>
      <c r="F264" s="1" t="s">
        <v>608</v>
      </c>
      <c r="G264" s="1" t="s">
        <v>3597</v>
      </c>
      <c r="H264" s="1" t="s">
        <v>1212</v>
      </c>
      <c r="I264" s="1" t="s">
        <v>31</v>
      </c>
      <c r="J264" s="1" t="s">
        <v>3843</v>
      </c>
      <c r="K264" s="1" t="s">
        <v>73</v>
      </c>
      <c r="L264" s="1">
        <v>0.0</v>
      </c>
      <c r="M264" s="1" t="s">
        <v>1212</v>
      </c>
      <c r="N264" s="1" t="s">
        <v>3843</v>
      </c>
      <c r="O264" s="1" t="s">
        <v>68</v>
      </c>
      <c r="P264" s="1">
        <v>1041.0</v>
      </c>
      <c r="Q264" s="1" t="s">
        <v>2576</v>
      </c>
      <c r="R264" s="1" t="s">
        <v>3845</v>
      </c>
      <c r="S264" s="1" t="s">
        <v>1027</v>
      </c>
      <c r="T264" s="1" t="s">
        <v>3846</v>
      </c>
      <c r="U264" s="1" t="s">
        <v>71</v>
      </c>
      <c r="V264" s="1" t="s">
        <v>72</v>
      </c>
      <c r="W264" s="1" t="s">
        <v>31</v>
      </c>
      <c r="X264" s="1" t="s">
        <v>31</v>
      </c>
      <c r="Y264" s="1" t="s">
        <v>73</v>
      </c>
      <c r="Z264" s="1" t="s">
        <v>51</v>
      </c>
      <c r="AA264" s="1" t="s">
        <v>31</v>
      </c>
      <c r="AB264" s="1" t="s">
        <v>31</v>
      </c>
      <c r="AC264" s="1" t="s">
        <v>74</v>
      </c>
      <c r="AD264" s="1" t="s">
        <v>31</v>
      </c>
      <c r="AE264" s="5"/>
    </row>
    <row r="265" ht="14.25" customHeight="1">
      <c r="A265" s="1" t="s">
        <v>33</v>
      </c>
      <c r="B265" s="1">
        <v>1.100039E7</v>
      </c>
      <c r="C265" s="1" t="str">
        <f>VLOOKUP(B265,Equipment!A$1:J$575,9,0)</f>
        <v>E</v>
      </c>
      <c r="D265" s="1" t="s">
        <v>3849</v>
      </c>
      <c r="E265" s="1" t="s">
        <v>3850</v>
      </c>
      <c r="F265" s="1" t="s">
        <v>608</v>
      </c>
      <c r="G265" s="1" t="s">
        <v>3851</v>
      </c>
      <c r="H265" s="1" t="s">
        <v>1212</v>
      </c>
      <c r="I265" s="1" t="s">
        <v>1212</v>
      </c>
      <c r="J265" s="1" t="s">
        <v>512</v>
      </c>
      <c r="K265" s="1" t="s">
        <v>3853</v>
      </c>
      <c r="L265" s="1">
        <v>3.17</v>
      </c>
      <c r="M265" s="1" t="s">
        <v>1212</v>
      </c>
      <c r="N265" s="1" t="s">
        <v>3854</v>
      </c>
      <c r="O265" s="1" t="s">
        <v>68</v>
      </c>
      <c r="P265" s="1">
        <v>1041.0</v>
      </c>
      <c r="Q265" s="1" t="s">
        <v>1212</v>
      </c>
      <c r="R265" s="1" t="s">
        <v>3853</v>
      </c>
      <c r="S265" s="1" t="s">
        <v>2576</v>
      </c>
      <c r="T265" s="1" t="s">
        <v>3855</v>
      </c>
      <c r="U265" s="1" t="s">
        <v>71</v>
      </c>
      <c r="V265" s="1" t="s">
        <v>72</v>
      </c>
      <c r="W265" s="1" t="s">
        <v>31</v>
      </c>
      <c r="X265" s="1" t="s">
        <v>31</v>
      </c>
      <c r="Y265" s="1" t="s">
        <v>73</v>
      </c>
      <c r="Z265" s="1" t="s">
        <v>51</v>
      </c>
      <c r="AA265" s="1" t="s">
        <v>31</v>
      </c>
      <c r="AB265" s="1" t="s">
        <v>31</v>
      </c>
      <c r="AC265" s="1" t="s">
        <v>74</v>
      </c>
      <c r="AD265" s="1" t="s">
        <v>31</v>
      </c>
      <c r="AE265" s="5"/>
    </row>
    <row r="266" ht="14.25" customHeight="1">
      <c r="A266" s="1" t="s">
        <v>33</v>
      </c>
      <c r="B266" s="1">
        <v>1.1000449E7</v>
      </c>
      <c r="C266" s="1" t="str">
        <f>VLOOKUP(B266,Equipment!A$1:J$575,9,0)</f>
        <v>E</v>
      </c>
      <c r="D266" s="1" t="s">
        <v>3858</v>
      </c>
      <c r="E266" s="1" t="s">
        <v>3859</v>
      </c>
      <c r="F266" s="1" t="s">
        <v>160</v>
      </c>
      <c r="G266" s="1" t="s">
        <v>3860</v>
      </c>
      <c r="H266" s="1" t="s">
        <v>1212</v>
      </c>
      <c r="I266" s="1" t="s">
        <v>2795</v>
      </c>
      <c r="J266" s="1" t="s">
        <v>271</v>
      </c>
      <c r="K266" s="1" t="s">
        <v>3861</v>
      </c>
      <c r="L266" s="1">
        <v>0.67</v>
      </c>
      <c r="M266" s="1" t="s">
        <v>1212</v>
      </c>
      <c r="N266" s="1" t="s">
        <v>3863</v>
      </c>
      <c r="O266" s="1" t="s">
        <v>68</v>
      </c>
      <c r="P266" s="1">
        <v>1041.0</v>
      </c>
      <c r="Q266" s="1" t="s">
        <v>2795</v>
      </c>
      <c r="R266" s="1" t="s">
        <v>3861</v>
      </c>
      <c r="S266" s="1" t="s">
        <v>2576</v>
      </c>
      <c r="T266" s="1" t="s">
        <v>3864</v>
      </c>
      <c r="U266" s="1" t="s">
        <v>71</v>
      </c>
      <c r="V266" s="1" t="s">
        <v>72</v>
      </c>
      <c r="W266" s="1" t="s">
        <v>31</v>
      </c>
      <c r="X266" s="1" t="s">
        <v>31</v>
      </c>
      <c r="Y266" s="1" t="s">
        <v>73</v>
      </c>
      <c r="Z266" s="1" t="s">
        <v>51</v>
      </c>
      <c r="AA266" s="1" t="s">
        <v>31</v>
      </c>
      <c r="AB266" s="1" t="s">
        <v>31</v>
      </c>
      <c r="AC266" s="1" t="s">
        <v>74</v>
      </c>
      <c r="AD266" s="1" t="s">
        <v>31</v>
      </c>
      <c r="AE266" s="5"/>
    </row>
    <row r="267" ht="14.25" customHeight="1">
      <c r="A267" s="1" t="s">
        <v>33</v>
      </c>
      <c r="B267" s="1">
        <v>1.1000455E7</v>
      </c>
      <c r="C267" s="1" t="str">
        <f>VLOOKUP(B267,Equipment!A$1:J$575,9,0)</f>
        <v>E</v>
      </c>
      <c r="D267" s="1" t="s">
        <v>3866</v>
      </c>
      <c r="E267" s="1" t="s">
        <v>3867</v>
      </c>
      <c r="F267" s="1" t="s">
        <v>81</v>
      </c>
      <c r="G267" s="1" t="s">
        <v>3868</v>
      </c>
      <c r="H267" s="1" t="s">
        <v>1212</v>
      </c>
      <c r="I267" s="1" t="s">
        <v>1212</v>
      </c>
      <c r="J267" s="1" t="s">
        <v>3869</v>
      </c>
      <c r="K267" s="1" t="s">
        <v>3870</v>
      </c>
      <c r="L267" s="1">
        <v>0.67</v>
      </c>
      <c r="M267" s="1" t="s">
        <v>1212</v>
      </c>
      <c r="N267" s="1" t="s">
        <v>3871</v>
      </c>
      <c r="O267" s="1" t="s">
        <v>68</v>
      </c>
      <c r="P267" s="1">
        <v>1041.0</v>
      </c>
      <c r="Q267" s="1" t="s">
        <v>1212</v>
      </c>
      <c r="R267" s="1" t="s">
        <v>3870</v>
      </c>
      <c r="S267" s="1" t="s">
        <v>2576</v>
      </c>
      <c r="T267" s="1" t="s">
        <v>3872</v>
      </c>
      <c r="U267" s="1" t="s">
        <v>71</v>
      </c>
      <c r="V267" s="1" t="s">
        <v>72</v>
      </c>
      <c r="W267" s="1" t="s">
        <v>31</v>
      </c>
      <c r="X267" s="1" t="s">
        <v>1212</v>
      </c>
      <c r="Y267" s="1" t="s">
        <v>3872</v>
      </c>
      <c r="Z267" s="1" t="s">
        <v>51</v>
      </c>
      <c r="AA267" s="1" t="s">
        <v>31</v>
      </c>
      <c r="AB267" s="1" t="s">
        <v>31</v>
      </c>
      <c r="AC267" s="1" t="s">
        <v>74</v>
      </c>
      <c r="AD267" s="1" t="s">
        <v>31</v>
      </c>
      <c r="AE267" s="5"/>
    </row>
    <row r="268" ht="14.25" customHeight="1">
      <c r="A268" s="1" t="s">
        <v>33</v>
      </c>
      <c r="B268" s="1">
        <v>1.1000482E7</v>
      </c>
      <c r="C268" s="1" t="str">
        <f>VLOOKUP(B268,Equipment!A$1:J$575,9,0)</f>
        <v>E</v>
      </c>
      <c r="D268" s="1" t="s">
        <v>3877</v>
      </c>
      <c r="E268" s="1" t="s">
        <v>3879</v>
      </c>
      <c r="F268" s="1" t="s">
        <v>100</v>
      </c>
      <c r="G268" s="1" t="s">
        <v>3880</v>
      </c>
      <c r="H268" s="1" t="s">
        <v>1212</v>
      </c>
      <c r="I268" s="1" t="s">
        <v>1212</v>
      </c>
      <c r="J268" s="1" t="s">
        <v>3881</v>
      </c>
      <c r="K268" s="1" t="s">
        <v>3882</v>
      </c>
      <c r="L268" s="1">
        <v>0.42</v>
      </c>
      <c r="M268" s="1" t="s">
        <v>1212</v>
      </c>
      <c r="N268" s="1" t="s">
        <v>2616</v>
      </c>
      <c r="O268" s="1" t="s">
        <v>68</v>
      </c>
      <c r="P268" s="1">
        <v>1041.0</v>
      </c>
      <c r="Q268" s="1" t="s">
        <v>1212</v>
      </c>
      <c r="R268" s="1" t="s">
        <v>3882</v>
      </c>
      <c r="S268" s="1" t="s">
        <v>2576</v>
      </c>
      <c r="T268" s="1" t="s">
        <v>3883</v>
      </c>
      <c r="U268" s="1" t="s">
        <v>71</v>
      </c>
      <c r="V268" s="1" t="s">
        <v>72</v>
      </c>
      <c r="W268" s="1" t="s">
        <v>31</v>
      </c>
      <c r="X268" s="1" t="s">
        <v>31</v>
      </c>
      <c r="Y268" s="1" t="s">
        <v>73</v>
      </c>
      <c r="Z268" s="1" t="s">
        <v>51</v>
      </c>
      <c r="AA268" s="1" t="s">
        <v>31</v>
      </c>
      <c r="AB268" s="1" t="s">
        <v>31</v>
      </c>
      <c r="AC268" s="1" t="s">
        <v>74</v>
      </c>
      <c r="AD268" s="1" t="s">
        <v>31</v>
      </c>
      <c r="AE268" s="5"/>
    </row>
    <row r="269" ht="14.25" customHeight="1">
      <c r="A269" s="1" t="s">
        <v>33</v>
      </c>
      <c r="B269" s="1">
        <v>1.1000482E7</v>
      </c>
      <c r="C269" s="1" t="str">
        <f>VLOOKUP(B269,Equipment!A$1:J$575,9,0)</f>
        <v>E</v>
      </c>
      <c r="D269" s="1" t="s">
        <v>3885</v>
      </c>
      <c r="E269" s="1" t="s">
        <v>3886</v>
      </c>
      <c r="F269" s="1" t="s">
        <v>100</v>
      </c>
      <c r="G269" s="1" t="s">
        <v>3887</v>
      </c>
      <c r="H269" s="1" t="s">
        <v>1212</v>
      </c>
      <c r="I269" s="1" t="s">
        <v>1212</v>
      </c>
      <c r="J269" s="1" t="s">
        <v>3888</v>
      </c>
      <c r="K269" s="1" t="s">
        <v>3889</v>
      </c>
      <c r="L269" s="1">
        <v>0.5</v>
      </c>
      <c r="M269" s="1" t="s">
        <v>1212</v>
      </c>
      <c r="N269" s="1" t="s">
        <v>3890</v>
      </c>
      <c r="O269" s="1" t="s">
        <v>68</v>
      </c>
      <c r="P269" s="1">
        <v>1041.0</v>
      </c>
      <c r="Q269" s="1" t="s">
        <v>1212</v>
      </c>
      <c r="R269" s="1" t="s">
        <v>3889</v>
      </c>
      <c r="S269" s="1" t="s">
        <v>2576</v>
      </c>
      <c r="T269" s="1" t="s">
        <v>3891</v>
      </c>
      <c r="U269" s="1" t="s">
        <v>71</v>
      </c>
      <c r="V269" s="1" t="s">
        <v>72</v>
      </c>
      <c r="W269" s="1" t="s">
        <v>31</v>
      </c>
      <c r="X269" s="1" t="s">
        <v>31</v>
      </c>
      <c r="Y269" s="1" t="s">
        <v>73</v>
      </c>
      <c r="Z269" s="1" t="s">
        <v>51</v>
      </c>
      <c r="AA269" s="1" t="s">
        <v>31</v>
      </c>
      <c r="AB269" s="1" t="s">
        <v>31</v>
      </c>
      <c r="AC269" s="1" t="s">
        <v>74</v>
      </c>
      <c r="AD269" s="1" t="s">
        <v>31</v>
      </c>
      <c r="AE269" s="5"/>
    </row>
    <row r="270" ht="14.25" customHeight="1">
      <c r="A270" s="1" t="s">
        <v>33</v>
      </c>
      <c r="B270" s="1">
        <v>1.1001303E7</v>
      </c>
      <c r="C270" s="1" t="str">
        <f>VLOOKUP(B270,Equipment!A$1:J$575,9,0)</f>
        <v>E</v>
      </c>
      <c r="D270" s="1" t="s">
        <v>3894</v>
      </c>
      <c r="E270" s="1" t="s">
        <v>3895</v>
      </c>
      <c r="F270" s="1" t="s">
        <v>649</v>
      </c>
      <c r="G270" s="1" t="s">
        <v>3897</v>
      </c>
      <c r="H270" s="1" t="s">
        <v>1212</v>
      </c>
      <c r="I270" s="1" t="s">
        <v>1212</v>
      </c>
      <c r="J270" s="1" t="s">
        <v>349</v>
      </c>
      <c r="K270" s="1" t="s">
        <v>3898</v>
      </c>
      <c r="L270" s="1">
        <v>1.0</v>
      </c>
      <c r="M270" s="1" t="s">
        <v>1212</v>
      </c>
      <c r="N270" s="1" t="s">
        <v>3899</v>
      </c>
      <c r="O270" s="1" t="s">
        <v>121</v>
      </c>
      <c r="P270" s="1">
        <v>1041.0</v>
      </c>
      <c r="Q270" s="1" t="s">
        <v>1212</v>
      </c>
      <c r="R270" s="1" t="s">
        <v>3898</v>
      </c>
      <c r="S270" s="1" t="s">
        <v>2576</v>
      </c>
      <c r="T270" s="1" t="s">
        <v>3900</v>
      </c>
      <c r="U270" s="1" t="s">
        <v>71</v>
      </c>
      <c r="V270" s="1" t="s">
        <v>72</v>
      </c>
      <c r="W270" s="1" t="s">
        <v>31</v>
      </c>
      <c r="X270" s="1" t="s">
        <v>31</v>
      </c>
      <c r="Y270" s="1" t="s">
        <v>73</v>
      </c>
      <c r="Z270" s="1" t="s">
        <v>51</v>
      </c>
      <c r="AA270" s="1" t="s">
        <v>31</v>
      </c>
      <c r="AB270" s="1" t="s">
        <v>31</v>
      </c>
      <c r="AC270" s="1" t="s">
        <v>656</v>
      </c>
      <c r="AD270" s="1" t="s">
        <v>31</v>
      </c>
      <c r="AE270" s="5"/>
    </row>
    <row r="271" ht="14.25" customHeight="1">
      <c r="A271" s="1" t="s">
        <v>33</v>
      </c>
      <c r="B271" s="1">
        <v>1.1000228E7</v>
      </c>
      <c r="C271" s="1" t="str">
        <f>VLOOKUP(B271,Equipment!A$1:J$575,9,0)</f>
        <v>E</v>
      </c>
      <c r="D271" s="1" t="s">
        <v>3906</v>
      </c>
      <c r="E271" s="1" t="s">
        <v>3907</v>
      </c>
      <c r="F271" s="1" t="s">
        <v>483</v>
      </c>
      <c r="G271" s="1" t="s">
        <v>3430</v>
      </c>
      <c r="H271" s="1" t="s">
        <v>1212</v>
      </c>
      <c r="I271" s="1" t="s">
        <v>1212</v>
      </c>
      <c r="J271" s="1" t="s">
        <v>836</v>
      </c>
      <c r="K271" s="1" t="s">
        <v>3908</v>
      </c>
      <c r="L271" s="1">
        <v>0.83</v>
      </c>
      <c r="M271" s="1" t="s">
        <v>1212</v>
      </c>
      <c r="N271" s="1" t="s">
        <v>836</v>
      </c>
      <c r="O271" s="1" t="s">
        <v>131</v>
      </c>
      <c r="P271" s="1">
        <v>2001.0</v>
      </c>
      <c r="Q271" s="1" t="s">
        <v>1212</v>
      </c>
      <c r="R271" s="1" t="s">
        <v>3908</v>
      </c>
      <c r="S271" s="1" t="s">
        <v>1212</v>
      </c>
      <c r="T271" s="1" t="s">
        <v>1844</v>
      </c>
      <c r="U271" s="1" t="s">
        <v>71</v>
      </c>
      <c r="V271" s="1" t="s">
        <v>72</v>
      </c>
      <c r="W271" s="1" t="s">
        <v>31</v>
      </c>
      <c r="X271" s="1" t="s">
        <v>1212</v>
      </c>
      <c r="Y271" s="1" t="s">
        <v>836</v>
      </c>
      <c r="Z271" s="1" t="s">
        <v>51</v>
      </c>
      <c r="AA271" s="1" t="s">
        <v>31</v>
      </c>
      <c r="AB271" s="1" t="s">
        <v>31</v>
      </c>
      <c r="AC271" s="1" t="s">
        <v>137</v>
      </c>
      <c r="AD271" s="1" t="s">
        <v>31</v>
      </c>
      <c r="AE271" s="5"/>
    </row>
    <row r="272" ht="14.25" customHeight="1">
      <c r="A272" s="1" t="s">
        <v>33</v>
      </c>
      <c r="B272" s="1">
        <v>1.1000289E7</v>
      </c>
      <c r="C272" s="1" t="str">
        <f>VLOOKUP(B272,Equipment!A$1:J$575,9,0)</f>
        <v>E</v>
      </c>
      <c r="D272" s="1" t="s">
        <v>3916</v>
      </c>
      <c r="E272" s="1" t="s">
        <v>3917</v>
      </c>
      <c r="F272" s="1" t="s">
        <v>577</v>
      </c>
      <c r="G272" s="1" t="s">
        <v>3918</v>
      </c>
      <c r="H272" s="1" t="s">
        <v>1212</v>
      </c>
      <c r="I272" s="1" t="s">
        <v>1212</v>
      </c>
      <c r="J272" s="1" t="s">
        <v>3919</v>
      </c>
      <c r="K272" s="1" t="s">
        <v>1932</v>
      </c>
      <c r="L272" s="1">
        <v>2.0</v>
      </c>
      <c r="M272" s="1" t="s">
        <v>1212</v>
      </c>
      <c r="N272" s="1" t="s">
        <v>3919</v>
      </c>
      <c r="O272" s="1" t="s">
        <v>491</v>
      </c>
      <c r="P272" s="1">
        <v>2001.0</v>
      </c>
      <c r="Q272" s="1" t="s">
        <v>1212</v>
      </c>
      <c r="R272" s="1" t="s">
        <v>3921</v>
      </c>
      <c r="S272" s="1" t="s">
        <v>31</v>
      </c>
      <c r="T272" s="1" t="s">
        <v>73</v>
      </c>
      <c r="U272" s="1" t="s">
        <v>71</v>
      </c>
      <c r="V272" s="1" t="s">
        <v>72</v>
      </c>
      <c r="W272" s="1" t="s">
        <v>31</v>
      </c>
      <c r="X272" s="1" t="s">
        <v>1212</v>
      </c>
      <c r="Y272" s="1" t="s">
        <v>3922</v>
      </c>
      <c r="Z272" s="1" t="s">
        <v>51</v>
      </c>
      <c r="AA272" s="1" t="s">
        <v>31</v>
      </c>
      <c r="AB272" s="1" t="s">
        <v>31</v>
      </c>
      <c r="AC272" s="1" t="s">
        <v>516</v>
      </c>
      <c r="AD272" s="1" t="s">
        <v>31</v>
      </c>
      <c r="AE272" s="5"/>
    </row>
    <row r="273" ht="14.25" customHeight="1">
      <c r="A273" s="1" t="s">
        <v>33</v>
      </c>
      <c r="B273" s="1">
        <v>1.1000551E7</v>
      </c>
      <c r="C273" s="1" t="str">
        <f>VLOOKUP(B273,Equipment!A$1:J$575,9,0)</f>
        <v>E</v>
      </c>
      <c r="D273" s="1" t="s">
        <v>3924</v>
      </c>
      <c r="E273" s="1" t="s">
        <v>3925</v>
      </c>
      <c r="F273" s="1" t="s">
        <v>217</v>
      </c>
      <c r="G273" s="1" t="s">
        <v>3926</v>
      </c>
      <c r="H273" s="1" t="s">
        <v>2439</v>
      </c>
      <c r="I273" s="1" t="s">
        <v>1212</v>
      </c>
      <c r="J273" s="1" t="s">
        <v>3927</v>
      </c>
      <c r="K273" s="1" t="s">
        <v>3928</v>
      </c>
      <c r="L273" s="1">
        <v>6.16</v>
      </c>
      <c r="M273" s="1" t="s">
        <v>2439</v>
      </c>
      <c r="N273" s="1" t="s">
        <v>3927</v>
      </c>
      <c r="O273" s="1" t="s">
        <v>223</v>
      </c>
      <c r="P273" s="1">
        <v>1031.0</v>
      </c>
      <c r="Q273" s="1" t="s">
        <v>1212</v>
      </c>
      <c r="R273" s="1" t="s">
        <v>3929</v>
      </c>
      <c r="S273" s="1" t="s">
        <v>31</v>
      </c>
      <c r="T273" s="1" t="s">
        <v>73</v>
      </c>
      <c r="U273" s="1" t="s">
        <v>71</v>
      </c>
      <c r="V273" s="1" t="s">
        <v>72</v>
      </c>
      <c r="W273" s="1" t="s">
        <v>31</v>
      </c>
      <c r="X273" s="1" t="s">
        <v>2439</v>
      </c>
      <c r="Y273" s="1" t="s">
        <v>3927</v>
      </c>
      <c r="Z273" s="1" t="s">
        <v>51</v>
      </c>
      <c r="AA273" s="1" t="s">
        <v>31</v>
      </c>
      <c r="AB273" s="1" t="s">
        <v>31</v>
      </c>
      <c r="AC273" s="1" t="s">
        <v>227</v>
      </c>
      <c r="AD273" s="1" t="s">
        <v>31</v>
      </c>
      <c r="AE273" s="5"/>
    </row>
    <row r="274" ht="14.25" customHeight="1">
      <c r="A274" s="1" t="s">
        <v>33</v>
      </c>
      <c r="B274" s="1">
        <v>1.1000557E7</v>
      </c>
      <c r="C274" s="1" t="str">
        <f>VLOOKUP(B274,Equipment!A$1:J$575,9,0)</f>
        <v>E</v>
      </c>
      <c r="D274" s="1" t="s">
        <v>3932</v>
      </c>
      <c r="E274" s="1" t="s">
        <v>3933</v>
      </c>
      <c r="F274" s="1" t="s">
        <v>1214</v>
      </c>
      <c r="G274" s="1" t="s">
        <v>3934</v>
      </c>
      <c r="H274" s="1" t="s">
        <v>2439</v>
      </c>
      <c r="I274" s="1" t="s">
        <v>2439</v>
      </c>
      <c r="J274" s="1" t="s">
        <v>3935</v>
      </c>
      <c r="K274" s="1" t="s">
        <v>3936</v>
      </c>
      <c r="L274" s="1">
        <v>3.8</v>
      </c>
      <c r="M274" s="1" t="s">
        <v>2439</v>
      </c>
      <c r="N274" s="1" t="s">
        <v>3937</v>
      </c>
      <c r="O274" s="1" t="s">
        <v>223</v>
      </c>
      <c r="P274" s="1">
        <v>1031.0</v>
      </c>
      <c r="Q274" s="1" t="s">
        <v>2439</v>
      </c>
      <c r="R274" s="1" t="s">
        <v>3936</v>
      </c>
      <c r="S274" s="1" t="s">
        <v>31</v>
      </c>
      <c r="T274" s="1" t="s">
        <v>73</v>
      </c>
      <c r="U274" s="1" t="s">
        <v>71</v>
      </c>
      <c r="V274" s="1" t="s">
        <v>72</v>
      </c>
      <c r="W274" s="1" t="s">
        <v>31</v>
      </c>
      <c r="X274" s="1" t="s">
        <v>2439</v>
      </c>
      <c r="Y274" s="1" t="s">
        <v>3937</v>
      </c>
      <c r="Z274" s="1" t="s">
        <v>51</v>
      </c>
      <c r="AA274" s="1" t="s">
        <v>31</v>
      </c>
      <c r="AB274" s="1" t="s">
        <v>31</v>
      </c>
      <c r="AC274" s="1" t="s">
        <v>3939</v>
      </c>
      <c r="AD274" s="1" t="s">
        <v>31</v>
      </c>
      <c r="AE274" s="5"/>
    </row>
    <row r="275" ht="14.25" customHeight="1">
      <c r="A275" s="1" t="s">
        <v>33</v>
      </c>
      <c r="B275" s="1">
        <v>1.1000386E7</v>
      </c>
      <c r="C275" s="1" t="str">
        <f>VLOOKUP(B275,Equipment!A$1:J$575,9,0)</f>
        <v>E</v>
      </c>
      <c r="D275" s="1" t="s">
        <v>3942</v>
      </c>
      <c r="E275" s="1" t="s">
        <v>3943</v>
      </c>
      <c r="F275" s="1" t="s">
        <v>415</v>
      </c>
      <c r="G275" s="1" t="s">
        <v>3944</v>
      </c>
      <c r="H275" s="1" t="s">
        <v>2439</v>
      </c>
      <c r="I275" s="1" t="s">
        <v>2439</v>
      </c>
      <c r="J275" s="1" t="s">
        <v>579</v>
      </c>
      <c r="K275" s="1" t="s">
        <v>3945</v>
      </c>
      <c r="L275" s="1">
        <v>0.5</v>
      </c>
      <c r="M275" s="1" t="s">
        <v>2439</v>
      </c>
      <c r="N275" s="1" t="s">
        <v>3946</v>
      </c>
      <c r="O275" s="1" t="s">
        <v>68</v>
      </c>
      <c r="P275" s="1">
        <v>1041.0</v>
      </c>
      <c r="Q275" s="1" t="s">
        <v>2439</v>
      </c>
      <c r="R275" s="1" t="s">
        <v>3945</v>
      </c>
      <c r="S275" s="1" t="s">
        <v>2795</v>
      </c>
      <c r="T275" s="1" t="s">
        <v>3948</v>
      </c>
      <c r="U275" s="1" t="s">
        <v>71</v>
      </c>
      <c r="V275" s="1" t="s">
        <v>72</v>
      </c>
      <c r="W275" s="1" t="s">
        <v>31</v>
      </c>
      <c r="X275" s="1" t="s">
        <v>2439</v>
      </c>
      <c r="Y275" s="1" t="s">
        <v>3948</v>
      </c>
      <c r="Z275" s="1" t="s">
        <v>51</v>
      </c>
      <c r="AA275" s="1" t="s">
        <v>31</v>
      </c>
      <c r="AB275" s="1" t="s">
        <v>31</v>
      </c>
      <c r="AC275" s="1" t="s">
        <v>74</v>
      </c>
      <c r="AD275" s="1" t="s">
        <v>31</v>
      </c>
      <c r="AE275" s="5"/>
    </row>
    <row r="276" ht="14.25" customHeight="1">
      <c r="A276" s="1" t="s">
        <v>33</v>
      </c>
      <c r="B276" s="1">
        <v>1.100039E7</v>
      </c>
      <c r="C276" s="1" t="str">
        <f>VLOOKUP(B276,Equipment!A$1:J$575,9,0)</f>
        <v>E</v>
      </c>
      <c r="D276" s="1" t="s">
        <v>3950</v>
      </c>
      <c r="E276" s="1" t="s">
        <v>3951</v>
      </c>
      <c r="F276" s="1" t="s">
        <v>608</v>
      </c>
      <c r="G276" s="1" t="s">
        <v>3952</v>
      </c>
      <c r="H276" s="1" t="s">
        <v>2439</v>
      </c>
      <c r="I276" s="1" t="s">
        <v>2439</v>
      </c>
      <c r="J276" s="1" t="s">
        <v>512</v>
      </c>
      <c r="K276" s="1" t="s">
        <v>3953</v>
      </c>
      <c r="L276" s="1">
        <v>0.5</v>
      </c>
      <c r="M276" s="1" t="s">
        <v>2439</v>
      </c>
      <c r="N276" s="1" t="s">
        <v>3954</v>
      </c>
      <c r="O276" s="1" t="s">
        <v>68</v>
      </c>
      <c r="P276" s="1">
        <v>1041.0</v>
      </c>
      <c r="Q276" s="1" t="s">
        <v>2439</v>
      </c>
      <c r="R276" s="1" t="s">
        <v>3953</v>
      </c>
      <c r="S276" s="1" t="s">
        <v>2795</v>
      </c>
      <c r="T276" s="1" t="s">
        <v>3955</v>
      </c>
      <c r="U276" s="1" t="s">
        <v>71</v>
      </c>
      <c r="V276" s="1" t="s">
        <v>72</v>
      </c>
      <c r="W276" s="1" t="s">
        <v>31</v>
      </c>
      <c r="X276" s="1" t="s">
        <v>31</v>
      </c>
      <c r="Y276" s="1" t="s">
        <v>73</v>
      </c>
      <c r="Z276" s="1" t="s">
        <v>51</v>
      </c>
      <c r="AA276" s="1" t="s">
        <v>31</v>
      </c>
      <c r="AB276" s="1" t="s">
        <v>31</v>
      </c>
      <c r="AC276" s="1" t="s">
        <v>74</v>
      </c>
      <c r="AD276" s="1" t="s">
        <v>31</v>
      </c>
      <c r="AE276" s="5"/>
    </row>
    <row r="277" ht="14.25" customHeight="1">
      <c r="A277" s="1" t="s">
        <v>33</v>
      </c>
      <c r="B277" s="1">
        <v>1.100039E7</v>
      </c>
      <c r="C277" s="1" t="str">
        <f>VLOOKUP(B277,Equipment!A$1:J$575,9,0)</f>
        <v>E</v>
      </c>
      <c r="D277" s="1" t="s">
        <v>3959</v>
      </c>
      <c r="E277" s="1" t="s">
        <v>3960</v>
      </c>
      <c r="F277" s="1" t="s">
        <v>608</v>
      </c>
      <c r="G277" s="1" t="s">
        <v>3961</v>
      </c>
      <c r="H277" s="1" t="s">
        <v>2439</v>
      </c>
      <c r="I277" s="1" t="s">
        <v>2795</v>
      </c>
      <c r="J277" s="1" t="s">
        <v>3142</v>
      </c>
      <c r="K277" s="1" t="s">
        <v>3962</v>
      </c>
      <c r="L277" s="1">
        <v>0.5</v>
      </c>
      <c r="M277" s="1" t="s">
        <v>2439</v>
      </c>
      <c r="N277" s="1" t="s">
        <v>3963</v>
      </c>
      <c r="O277" s="1" t="s">
        <v>68</v>
      </c>
      <c r="P277" s="1">
        <v>1041.0</v>
      </c>
      <c r="Q277" s="1" t="s">
        <v>2795</v>
      </c>
      <c r="R277" s="1" t="s">
        <v>3962</v>
      </c>
      <c r="S277" s="1" t="s">
        <v>2795</v>
      </c>
      <c r="T277" s="1" t="s">
        <v>3964</v>
      </c>
      <c r="U277" s="1" t="s">
        <v>71</v>
      </c>
      <c r="V277" s="1" t="s">
        <v>72</v>
      </c>
      <c r="W277" s="1" t="s">
        <v>31</v>
      </c>
      <c r="X277" s="1" t="s">
        <v>31</v>
      </c>
      <c r="Y277" s="1" t="s">
        <v>73</v>
      </c>
      <c r="Z277" s="1" t="s">
        <v>51</v>
      </c>
      <c r="AA277" s="1" t="s">
        <v>31</v>
      </c>
      <c r="AB277" s="1" t="s">
        <v>31</v>
      </c>
      <c r="AC277" s="1" t="s">
        <v>74</v>
      </c>
      <c r="AD277" s="1" t="s">
        <v>31</v>
      </c>
      <c r="AE277" s="5"/>
    </row>
    <row r="278" ht="14.25" customHeight="1">
      <c r="A278" s="1" t="s">
        <v>33</v>
      </c>
      <c r="B278" s="1">
        <v>1.1000449E7</v>
      </c>
      <c r="C278" s="1" t="str">
        <f>VLOOKUP(B278,Equipment!A$1:J$575,9,0)</f>
        <v>E</v>
      </c>
      <c r="D278" s="1" t="s">
        <v>3965</v>
      </c>
      <c r="E278" s="1" t="s">
        <v>3966</v>
      </c>
      <c r="F278" s="1" t="s">
        <v>160</v>
      </c>
      <c r="G278" s="1" t="s">
        <v>3967</v>
      </c>
      <c r="H278" s="1" t="s">
        <v>2439</v>
      </c>
      <c r="I278" s="1" t="s">
        <v>2795</v>
      </c>
      <c r="J278" s="1" t="s">
        <v>3968</v>
      </c>
      <c r="K278" s="1" t="s">
        <v>3969</v>
      </c>
      <c r="L278" s="1">
        <v>1.08</v>
      </c>
      <c r="M278" s="1" t="s">
        <v>2439</v>
      </c>
      <c r="N278" s="1" t="s">
        <v>3971</v>
      </c>
      <c r="O278" s="1" t="s">
        <v>68</v>
      </c>
      <c r="P278" s="1">
        <v>1041.0</v>
      </c>
      <c r="Q278" s="1" t="s">
        <v>2795</v>
      </c>
      <c r="R278" s="1" t="s">
        <v>3969</v>
      </c>
      <c r="S278" s="1" t="s">
        <v>1212</v>
      </c>
      <c r="T278" s="1" t="s">
        <v>3972</v>
      </c>
      <c r="U278" s="1" t="s">
        <v>71</v>
      </c>
      <c r="V278" s="1" t="s">
        <v>72</v>
      </c>
      <c r="W278" s="1" t="s">
        <v>31</v>
      </c>
      <c r="X278" s="1" t="s">
        <v>31</v>
      </c>
      <c r="Y278" s="1" t="s">
        <v>73</v>
      </c>
      <c r="Z278" s="1" t="s">
        <v>51</v>
      </c>
      <c r="AA278" s="1" t="s">
        <v>31</v>
      </c>
      <c r="AB278" s="1" t="s">
        <v>31</v>
      </c>
      <c r="AC278" s="1" t="s">
        <v>74</v>
      </c>
      <c r="AD278" s="1" t="s">
        <v>31</v>
      </c>
      <c r="AE278" s="5"/>
    </row>
    <row r="279" ht="14.25" customHeight="1">
      <c r="A279" s="1" t="s">
        <v>33</v>
      </c>
      <c r="B279" s="1">
        <v>1.1000453E7</v>
      </c>
      <c r="C279" s="1" t="str">
        <f>VLOOKUP(B279,Equipment!A$1:J$575,9,0)</f>
        <v>E</v>
      </c>
      <c r="D279" s="1" t="s">
        <v>31</v>
      </c>
      <c r="E279" s="1" t="s">
        <v>3976</v>
      </c>
      <c r="F279" s="1" t="s">
        <v>283</v>
      </c>
      <c r="G279" s="1" t="s">
        <v>3977</v>
      </c>
      <c r="H279" s="1" t="s">
        <v>2439</v>
      </c>
      <c r="I279" s="1" t="s">
        <v>31</v>
      </c>
      <c r="J279" s="1" t="s">
        <v>3978</v>
      </c>
      <c r="K279" s="1" t="s">
        <v>73</v>
      </c>
      <c r="L279" s="1">
        <v>0.0</v>
      </c>
      <c r="M279" s="1" t="s">
        <v>2439</v>
      </c>
      <c r="N279" s="1" t="s">
        <v>3978</v>
      </c>
      <c r="O279" s="1" t="s">
        <v>68</v>
      </c>
      <c r="P279" s="1">
        <v>1041.0</v>
      </c>
      <c r="Q279" s="1" t="s">
        <v>2439</v>
      </c>
      <c r="R279" s="1" t="s">
        <v>3377</v>
      </c>
      <c r="S279" s="1" t="s">
        <v>1212</v>
      </c>
      <c r="T279" s="1" t="s">
        <v>3980</v>
      </c>
      <c r="U279" s="1" t="s">
        <v>71</v>
      </c>
      <c r="V279" s="1" t="s">
        <v>72</v>
      </c>
      <c r="W279" s="1" t="s">
        <v>31</v>
      </c>
      <c r="X279" s="1" t="s">
        <v>31</v>
      </c>
      <c r="Y279" s="1" t="s">
        <v>73</v>
      </c>
      <c r="Z279" s="1" t="s">
        <v>51</v>
      </c>
      <c r="AA279" s="1" t="s">
        <v>31</v>
      </c>
      <c r="AB279" s="1" t="s">
        <v>31</v>
      </c>
      <c r="AC279" s="1" t="s">
        <v>74</v>
      </c>
      <c r="AD279" s="1" t="s">
        <v>31</v>
      </c>
      <c r="AE279" s="5"/>
    </row>
    <row r="280" ht="14.25" customHeight="1">
      <c r="A280" s="1" t="s">
        <v>33</v>
      </c>
      <c r="B280" s="1">
        <v>1.1001303E7</v>
      </c>
      <c r="C280" s="1" t="str">
        <f>VLOOKUP(B280,Equipment!A$1:J$575,9,0)</f>
        <v>E</v>
      </c>
      <c r="D280" s="1" t="s">
        <v>3982</v>
      </c>
      <c r="E280" s="1" t="s">
        <v>3983</v>
      </c>
      <c r="F280" s="1" t="s">
        <v>649</v>
      </c>
      <c r="G280" s="1" t="s">
        <v>3984</v>
      </c>
      <c r="H280" s="1" t="s">
        <v>2439</v>
      </c>
      <c r="I280" s="1" t="s">
        <v>2439</v>
      </c>
      <c r="J280" s="1" t="s">
        <v>3985</v>
      </c>
      <c r="K280" s="1" t="s">
        <v>3986</v>
      </c>
      <c r="L280" s="1">
        <v>0.42</v>
      </c>
      <c r="M280" s="1" t="s">
        <v>2439</v>
      </c>
      <c r="N280" s="1" t="s">
        <v>3987</v>
      </c>
      <c r="O280" s="1" t="s">
        <v>121</v>
      </c>
      <c r="P280" s="1">
        <v>1041.0</v>
      </c>
      <c r="Q280" s="1" t="s">
        <v>2439</v>
      </c>
      <c r="R280" s="1" t="s">
        <v>3986</v>
      </c>
      <c r="S280" s="1" t="s">
        <v>1212</v>
      </c>
      <c r="T280" s="1" t="s">
        <v>3989</v>
      </c>
      <c r="U280" s="1" t="s">
        <v>71</v>
      </c>
      <c r="V280" s="1" t="s">
        <v>72</v>
      </c>
      <c r="W280" s="1" t="s">
        <v>31</v>
      </c>
      <c r="X280" s="1" t="s">
        <v>31</v>
      </c>
      <c r="Y280" s="1" t="s">
        <v>73</v>
      </c>
      <c r="Z280" s="1" t="s">
        <v>51</v>
      </c>
      <c r="AA280" s="1" t="s">
        <v>31</v>
      </c>
      <c r="AB280" s="1" t="s">
        <v>31</v>
      </c>
      <c r="AC280" s="1" t="s">
        <v>656</v>
      </c>
      <c r="AD280" s="1" t="s">
        <v>31</v>
      </c>
      <c r="AE280" s="5"/>
    </row>
    <row r="281" ht="14.25" customHeight="1">
      <c r="A281" s="1" t="s">
        <v>33</v>
      </c>
      <c r="B281" s="1">
        <v>1.1000315E7</v>
      </c>
      <c r="C281" s="1" t="str">
        <f>VLOOKUP(B281,Equipment!A$1:J$575,9,0)</f>
        <v>E</v>
      </c>
      <c r="D281" s="1" t="s">
        <v>3991</v>
      </c>
      <c r="E281" s="1" t="s">
        <v>3992</v>
      </c>
      <c r="F281" s="1" t="s">
        <v>661</v>
      </c>
      <c r="G281" s="1" t="s">
        <v>3993</v>
      </c>
      <c r="H281" s="1" t="s">
        <v>2439</v>
      </c>
      <c r="I281" s="1" t="s">
        <v>1212</v>
      </c>
      <c r="J281" s="1" t="s">
        <v>3994</v>
      </c>
      <c r="K281" s="1" t="s">
        <v>309</v>
      </c>
      <c r="L281" s="1">
        <v>22.25</v>
      </c>
      <c r="M281" s="1" t="s">
        <v>2439</v>
      </c>
      <c r="N281" s="1" t="s">
        <v>3994</v>
      </c>
      <c r="O281" s="1" t="s">
        <v>121</v>
      </c>
      <c r="P281" s="1">
        <v>2001.0</v>
      </c>
      <c r="Q281" s="1" t="s">
        <v>1212</v>
      </c>
      <c r="R281" s="1" t="s">
        <v>309</v>
      </c>
      <c r="S281" s="1" t="s">
        <v>31</v>
      </c>
      <c r="T281" s="1" t="s">
        <v>73</v>
      </c>
      <c r="U281" s="1" t="s">
        <v>71</v>
      </c>
      <c r="V281" s="1" t="s">
        <v>72</v>
      </c>
      <c r="W281" s="1" t="s">
        <v>31</v>
      </c>
      <c r="X281" s="1" t="s">
        <v>2439</v>
      </c>
      <c r="Y281" s="1" t="s">
        <v>3998</v>
      </c>
      <c r="Z281" s="1" t="s">
        <v>51</v>
      </c>
      <c r="AA281" s="1" t="s">
        <v>31</v>
      </c>
      <c r="AB281" s="1" t="s">
        <v>31</v>
      </c>
      <c r="AC281" s="1" t="s">
        <v>122</v>
      </c>
      <c r="AD281" s="1" t="s">
        <v>31</v>
      </c>
      <c r="AE281" s="5"/>
    </row>
    <row r="282" ht="14.25" customHeight="1">
      <c r="A282" s="1" t="s">
        <v>33</v>
      </c>
      <c r="B282" s="1">
        <v>1.1000318E7</v>
      </c>
      <c r="C282" s="1" t="str">
        <f>VLOOKUP(B282,Equipment!A$1:J$575,9,0)</f>
        <v>E</v>
      </c>
      <c r="D282" s="1" t="s">
        <v>4000</v>
      </c>
      <c r="E282" s="1" t="s">
        <v>4001</v>
      </c>
      <c r="F282" s="1" t="s">
        <v>510</v>
      </c>
      <c r="G282" s="1" t="s">
        <v>4002</v>
      </c>
      <c r="H282" s="1" t="s">
        <v>2439</v>
      </c>
      <c r="I282" s="1" t="s">
        <v>2660</v>
      </c>
      <c r="J282" s="1" t="s">
        <v>4003</v>
      </c>
      <c r="K282" s="1" t="s">
        <v>469</v>
      </c>
      <c r="L282" s="1">
        <v>91.8</v>
      </c>
      <c r="M282" s="1" t="s">
        <v>2439</v>
      </c>
      <c r="N282" s="1" t="s">
        <v>4003</v>
      </c>
      <c r="O282" s="1" t="s">
        <v>491</v>
      </c>
      <c r="P282" s="1">
        <v>2001.0</v>
      </c>
      <c r="Q282" s="1" t="s">
        <v>2660</v>
      </c>
      <c r="R282" s="1" t="s">
        <v>469</v>
      </c>
      <c r="S282" s="1" t="s">
        <v>31</v>
      </c>
      <c r="T282" s="1" t="s">
        <v>73</v>
      </c>
      <c r="U282" s="1" t="s">
        <v>71</v>
      </c>
      <c r="V282" s="1" t="s">
        <v>72</v>
      </c>
      <c r="W282" s="1" t="s">
        <v>31</v>
      </c>
      <c r="X282" s="1" t="s">
        <v>2439</v>
      </c>
      <c r="Y282" s="1" t="s">
        <v>4003</v>
      </c>
      <c r="Z282" s="1" t="s">
        <v>51</v>
      </c>
      <c r="AA282" s="1" t="s">
        <v>31</v>
      </c>
      <c r="AB282" s="1" t="s">
        <v>31</v>
      </c>
      <c r="AC282" s="1" t="s">
        <v>516</v>
      </c>
      <c r="AD282" s="1" t="s">
        <v>31</v>
      </c>
      <c r="AE282" s="5"/>
    </row>
    <row r="283" ht="14.25" customHeight="1">
      <c r="A283" s="1" t="s">
        <v>33</v>
      </c>
      <c r="B283" s="1">
        <v>1.1000551E7</v>
      </c>
      <c r="C283" s="1" t="str">
        <f>VLOOKUP(B283,Equipment!A$1:J$575,9,0)</f>
        <v>E</v>
      </c>
      <c r="D283" s="1" t="s">
        <v>4008</v>
      </c>
      <c r="E283" s="1" t="s">
        <v>4009</v>
      </c>
      <c r="F283" s="1" t="s">
        <v>217</v>
      </c>
      <c r="G283" s="1" t="s">
        <v>4010</v>
      </c>
      <c r="H283" s="1" t="s">
        <v>2197</v>
      </c>
      <c r="I283" s="1" t="s">
        <v>1033</v>
      </c>
      <c r="J283" s="1" t="s">
        <v>4012</v>
      </c>
      <c r="K283" s="1" t="s">
        <v>4013</v>
      </c>
      <c r="L283" s="1">
        <v>1.0</v>
      </c>
      <c r="M283" s="1" t="s">
        <v>2197</v>
      </c>
      <c r="N283" s="1" t="s">
        <v>4012</v>
      </c>
      <c r="O283" s="1" t="s">
        <v>223</v>
      </c>
      <c r="P283" s="1">
        <v>1031.0</v>
      </c>
      <c r="Q283" s="1" t="s">
        <v>1033</v>
      </c>
      <c r="R283" s="1" t="s">
        <v>4013</v>
      </c>
      <c r="S283" s="1" t="s">
        <v>31</v>
      </c>
      <c r="T283" s="1" t="s">
        <v>73</v>
      </c>
      <c r="U283" s="1" t="s">
        <v>71</v>
      </c>
      <c r="V283" s="1" t="s">
        <v>72</v>
      </c>
      <c r="W283" s="1" t="s">
        <v>31</v>
      </c>
      <c r="X283" s="1" t="s">
        <v>2197</v>
      </c>
      <c r="Y283" s="1" t="s">
        <v>4012</v>
      </c>
      <c r="Z283" s="1" t="s">
        <v>51</v>
      </c>
      <c r="AA283" s="1" t="s">
        <v>31</v>
      </c>
      <c r="AB283" s="1" t="s">
        <v>31</v>
      </c>
      <c r="AC283" s="1" t="s">
        <v>227</v>
      </c>
      <c r="AD283" s="1" t="s">
        <v>31</v>
      </c>
      <c r="AE283" s="5"/>
    </row>
    <row r="284" ht="14.25" customHeight="1">
      <c r="A284" s="1" t="s">
        <v>33</v>
      </c>
      <c r="B284" s="1">
        <v>1.1000581E7</v>
      </c>
      <c r="C284" s="1" t="str">
        <f>VLOOKUP(B284,Equipment!A$1:J$575,9,0)</f>
        <v>E</v>
      </c>
      <c r="D284" s="1" t="s">
        <v>4019</v>
      </c>
      <c r="E284" s="1" t="s">
        <v>4020</v>
      </c>
      <c r="F284" s="1" t="s">
        <v>1381</v>
      </c>
      <c r="G284" s="1" t="s">
        <v>4021</v>
      </c>
      <c r="H284" s="1" t="s">
        <v>2197</v>
      </c>
      <c r="I284" s="1" t="s">
        <v>2197</v>
      </c>
      <c r="J284" s="1" t="s">
        <v>4022</v>
      </c>
      <c r="K284" s="1" t="s">
        <v>4023</v>
      </c>
      <c r="L284" s="1">
        <v>0.17</v>
      </c>
      <c r="M284" s="1" t="s">
        <v>2197</v>
      </c>
      <c r="N284" s="1" t="s">
        <v>4022</v>
      </c>
      <c r="O284" s="1" t="s">
        <v>223</v>
      </c>
      <c r="P284" s="1" t="s">
        <v>31</v>
      </c>
      <c r="Q284" s="1" t="s">
        <v>2197</v>
      </c>
      <c r="R284" s="1" t="s">
        <v>4023</v>
      </c>
      <c r="S284" s="1" t="s">
        <v>2197</v>
      </c>
      <c r="T284" s="1" t="s">
        <v>4023</v>
      </c>
      <c r="U284" s="1" t="s">
        <v>71</v>
      </c>
      <c r="V284" s="1" t="s">
        <v>72</v>
      </c>
      <c r="W284" s="1" t="s">
        <v>31</v>
      </c>
      <c r="X284" s="1" t="s">
        <v>2197</v>
      </c>
      <c r="Y284" s="1" t="s">
        <v>4022</v>
      </c>
      <c r="Z284" s="1" t="s">
        <v>51</v>
      </c>
      <c r="AA284" s="1" t="s">
        <v>31</v>
      </c>
      <c r="AB284" s="1" t="s">
        <v>31</v>
      </c>
      <c r="AC284" s="1" t="s">
        <v>227</v>
      </c>
      <c r="AD284" s="1" t="s">
        <v>31</v>
      </c>
      <c r="AE284" s="5"/>
    </row>
    <row r="285" ht="14.25" customHeight="1">
      <c r="A285" s="1" t="s">
        <v>33</v>
      </c>
      <c r="B285" s="1">
        <v>1.1001295E7</v>
      </c>
      <c r="C285" s="1" t="str">
        <f>VLOOKUP(B285,Equipment!A$1:J$575,9,0)</f>
        <v>E</v>
      </c>
      <c r="D285" s="1" t="s">
        <v>4025</v>
      </c>
      <c r="E285" s="1" t="s">
        <v>4026</v>
      </c>
      <c r="F285" s="1" t="s">
        <v>2708</v>
      </c>
      <c r="G285" s="1" t="s">
        <v>4027</v>
      </c>
      <c r="H285" s="1" t="s">
        <v>2197</v>
      </c>
      <c r="I285" s="1" t="s">
        <v>1212</v>
      </c>
      <c r="J285" s="1" t="s">
        <v>2398</v>
      </c>
      <c r="K285" s="1" t="s">
        <v>3864</v>
      </c>
      <c r="L285" s="1">
        <v>35.5</v>
      </c>
      <c r="M285" s="1" t="s">
        <v>2439</v>
      </c>
      <c r="N285" s="1" t="s">
        <v>4029</v>
      </c>
      <c r="O285" s="1" t="s">
        <v>223</v>
      </c>
      <c r="P285" s="1">
        <v>1031.0</v>
      </c>
      <c r="Q285" s="1" t="s">
        <v>1212</v>
      </c>
      <c r="R285" s="1" t="s">
        <v>3864</v>
      </c>
      <c r="S285" s="1" t="s">
        <v>31</v>
      </c>
      <c r="T285" s="1" t="s">
        <v>73</v>
      </c>
      <c r="U285" s="1" t="s">
        <v>71</v>
      </c>
      <c r="V285" s="1" t="s">
        <v>72</v>
      </c>
      <c r="W285" s="1" t="s">
        <v>31</v>
      </c>
      <c r="X285" s="1" t="s">
        <v>2439</v>
      </c>
      <c r="Y285" s="1" t="s">
        <v>4029</v>
      </c>
      <c r="Z285" s="1" t="s">
        <v>51</v>
      </c>
      <c r="AA285" s="1" t="s">
        <v>31</v>
      </c>
      <c r="AB285" s="1" t="s">
        <v>31</v>
      </c>
      <c r="AC285" s="1" t="s">
        <v>227</v>
      </c>
      <c r="AD285" s="1" t="s">
        <v>31</v>
      </c>
      <c r="AE285" s="5"/>
    </row>
    <row r="286" ht="14.25" customHeight="1">
      <c r="A286" s="1" t="s">
        <v>33</v>
      </c>
      <c r="B286" s="1">
        <v>1.1000386E7</v>
      </c>
      <c r="C286" s="1" t="str">
        <f>VLOOKUP(B286,Equipment!A$1:J$575,9,0)</f>
        <v>E</v>
      </c>
      <c r="D286" s="1" t="s">
        <v>31</v>
      </c>
      <c r="E286" s="1" t="s">
        <v>4031</v>
      </c>
      <c r="F286" s="1" t="s">
        <v>415</v>
      </c>
      <c r="G286" s="1" t="s">
        <v>4032</v>
      </c>
      <c r="H286" s="1" t="s">
        <v>2197</v>
      </c>
      <c r="I286" s="1" t="s">
        <v>31</v>
      </c>
      <c r="J286" s="1" t="s">
        <v>4034</v>
      </c>
      <c r="K286" s="1" t="s">
        <v>73</v>
      </c>
      <c r="L286" s="1">
        <v>0.0</v>
      </c>
      <c r="M286" s="1" t="s">
        <v>2197</v>
      </c>
      <c r="N286" s="1" t="s">
        <v>4034</v>
      </c>
      <c r="O286" s="1" t="s">
        <v>68</v>
      </c>
      <c r="P286" s="1">
        <v>1041.0</v>
      </c>
      <c r="Q286" s="1" t="s">
        <v>2197</v>
      </c>
      <c r="R286" s="1" t="s">
        <v>4035</v>
      </c>
      <c r="S286" s="1" t="s">
        <v>2660</v>
      </c>
      <c r="T286" s="1" t="s">
        <v>4036</v>
      </c>
      <c r="U286" s="1" t="s">
        <v>71</v>
      </c>
      <c r="V286" s="1" t="s">
        <v>72</v>
      </c>
      <c r="W286" s="1" t="s">
        <v>31</v>
      </c>
      <c r="X286" s="1" t="s">
        <v>31</v>
      </c>
      <c r="Y286" s="1" t="s">
        <v>73</v>
      </c>
      <c r="Z286" s="1" t="s">
        <v>51</v>
      </c>
      <c r="AA286" s="1" t="s">
        <v>31</v>
      </c>
      <c r="AB286" s="1" t="s">
        <v>31</v>
      </c>
      <c r="AC286" s="1" t="s">
        <v>74</v>
      </c>
      <c r="AD286" s="1" t="s">
        <v>31</v>
      </c>
      <c r="AE286" s="5"/>
    </row>
    <row r="287" ht="14.25" customHeight="1">
      <c r="A287" s="1" t="s">
        <v>33</v>
      </c>
      <c r="B287" s="1">
        <v>1.1000389E7</v>
      </c>
      <c r="C287" s="1" t="str">
        <f>VLOOKUP(B287,Equipment!A$1:J$575,9,0)</f>
        <v>E</v>
      </c>
      <c r="D287" s="1" t="s">
        <v>4039</v>
      </c>
      <c r="E287" s="1" t="s">
        <v>4040</v>
      </c>
      <c r="F287" s="1" t="s">
        <v>60</v>
      </c>
      <c r="G287" s="1" t="s">
        <v>4041</v>
      </c>
      <c r="H287" s="1" t="s">
        <v>2197</v>
      </c>
      <c r="I287" s="1" t="s">
        <v>2197</v>
      </c>
      <c r="J287" s="1" t="s">
        <v>955</v>
      </c>
      <c r="K287" s="1" t="s">
        <v>4042</v>
      </c>
      <c r="L287" s="1">
        <v>0.5</v>
      </c>
      <c r="M287" s="1" t="s">
        <v>2197</v>
      </c>
      <c r="N287" s="1" t="s">
        <v>4043</v>
      </c>
      <c r="O287" s="1" t="s">
        <v>68</v>
      </c>
      <c r="P287" s="1">
        <v>1041.0</v>
      </c>
      <c r="Q287" s="1" t="s">
        <v>2197</v>
      </c>
      <c r="R287" s="1" t="s">
        <v>4042</v>
      </c>
      <c r="S287" s="1" t="s">
        <v>2660</v>
      </c>
      <c r="T287" s="1" t="s">
        <v>4044</v>
      </c>
      <c r="U287" s="1" t="s">
        <v>71</v>
      </c>
      <c r="V287" s="1" t="s">
        <v>72</v>
      </c>
      <c r="W287" s="1" t="s">
        <v>31</v>
      </c>
      <c r="X287" s="1" t="s">
        <v>31</v>
      </c>
      <c r="Y287" s="1" t="s">
        <v>73</v>
      </c>
      <c r="Z287" s="1" t="s">
        <v>51</v>
      </c>
      <c r="AA287" s="1" t="s">
        <v>31</v>
      </c>
      <c r="AB287" s="1" t="s">
        <v>31</v>
      </c>
      <c r="AC287" s="1" t="s">
        <v>74</v>
      </c>
      <c r="AD287" s="1" t="s">
        <v>31</v>
      </c>
      <c r="AE287" s="5"/>
    </row>
    <row r="288" ht="14.25" customHeight="1">
      <c r="A288" s="1" t="s">
        <v>33</v>
      </c>
      <c r="B288" s="1">
        <v>1.1000439E7</v>
      </c>
      <c r="C288" s="1" t="str">
        <f>VLOOKUP(B288,Equipment!A$1:J$575,9,0)</f>
        <v>E</v>
      </c>
      <c r="D288" s="1" t="s">
        <v>4047</v>
      </c>
      <c r="E288" s="1" t="s">
        <v>4049</v>
      </c>
      <c r="F288" s="1" t="s">
        <v>894</v>
      </c>
      <c r="G288" s="1" t="s">
        <v>4050</v>
      </c>
      <c r="H288" s="1" t="s">
        <v>2197</v>
      </c>
      <c r="I288" s="1" t="s">
        <v>2197</v>
      </c>
      <c r="J288" s="1" t="s">
        <v>2345</v>
      </c>
      <c r="K288" s="1" t="s">
        <v>4051</v>
      </c>
      <c r="L288" s="1">
        <v>2.83</v>
      </c>
      <c r="M288" s="1" t="s">
        <v>2197</v>
      </c>
      <c r="N288" s="1" t="s">
        <v>4052</v>
      </c>
      <c r="O288" s="1" t="s">
        <v>68</v>
      </c>
      <c r="P288" s="1">
        <v>1041.0</v>
      </c>
      <c r="Q288" s="1" t="s">
        <v>2197</v>
      </c>
      <c r="R288" s="1" t="s">
        <v>4051</v>
      </c>
      <c r="S288" s="1" t="s">
        <v>2660</v>
      </c>
      <c r="T288" s="1" t="s">
        <v>4053</v>
      </c>
      <c r="U288" s="1" t="s">
        <v>71</v>
      </c>
      <c r="V288" s="1" t="s">
        <v>72</v>
      </c>
      <c r="W288" s="1" t="s">
        <v>31</v>
      </c>
      <c r="X288" s="1" t="s">
        <v>31</v>
      </c>
      <c r="Y288" s="1" t="s">
        <v>73</v>
      </c>
      <c r="Z288" s="1" t="s">
        <v>51</v>
      </c>
      <c r="AA288" s="1" t="s">
        <v>31</v>
      </c>
      <c r="AB288" s="1" t="s">
        <v>31</v>
      </c>
      <c r="AC288" s="1" t="s">
        <v>74</v>
      </c>
      <c r="AD288" s="1" t="s">
        <v>31</v>
      </c>
      <c r="AE288" s="5"/>
    </row>
    <row r="289" ht="14.25" customHeight="1">
      <c r="A289" s="1" t="s">
        <v>33</v>
      </c>
      <c r="B289" s="1">
        <v>1.1000452E7</v>
      </c>
      <c r="C289" s="1" t="str">
        <f>VLOOKUP(B289,Equipment!A$1:J$575,9,0)</f>
        <v>E</v>
      </c>
      <c r="D289" s="1" t="s">
        <v>4055</v>
      </c>
      <c r="E289" s="1" t="s">
        <v>4056</v>
      </c>
      <c r="F289" s="1" t="s">
        <v>180</v>
      </c>
      <c r="G289" s="1" t="s">
        <v>4057</v>
      </c>
      <c r="H289" s="1" t="s">
        <v>2197</v>
      </c>
      <c r="I289" s="1" t="s">
        <v>2197</v>
      </c>
      <c r="J289" s="1" t="s">
        <v>456</v>
      </c>
      <c r="K289" s="1" t="s">
        <v>4058</v>
      </c>
      <c r="L289" s="1">
        <v>2.0</v>
      </c>
      <c r="M289" s="1" t="s">
        <v>2197</v>
      </c>
      <c r="N289" s="1" t="s">
        <v>4059</v>
      </c>
      <c r="O289" s="1" t="s">
        <v>68</v>
      </c>
      <c r="P289" s="1">
        <v>1041.0</v>
      </c>
      <c r="Q289" s="1" t="s">
        <v>2197</v>
      </c>
      <c r="R289" s="1" t="s">
        <v>4058</v>
      </c>
      <c r="S289" s="1" t="s">
        <v>2439</v>
      </c>
      <c r="T289" s="1" t="s">
        <v>4060</v>
      </c>
      <c r="U289" s="1" t="s">
        <v>71</v>
      </c>
      <c r="V289" s="1" t="s">
        <v>72</v>
      </c>
      <c r="W289" s="1" t="s">
        <v>31</v>
      </c>
      <c r="X289" s="1" t="s">
        <v>31</v>
      </c>
      <c r="Y289" s="1" t="s">
        <v>73</v>
      </c>
      <c r="Z289" s="1" t="s">
        <v>51</v>
      </c>
      <c r="AA289" s="1" t="s">
        <v>31</v>
      </c>
      <c r="AB289" s="1" t="s">
        <v>31</v>
      </c>
      <c r="AC289" s="1" t="s">
        <v>74</v>
      </c>
      <c r="AD289" s="1" t="s">
        <v>31</v>
      </c>
      <c r="AE289" s="5"/>
    </row>
    <row r="290" ht="14.25" customHeight="1">
      <c r="A290" s="1" t="s">
        <v>33</v>
      </c>
      <c r="B290" s="1">
        <v>1.1000452E7</v>
      </c>
      <c r="C290" s="1" t="str">
        <f>VLOOKUP(B290,Equipment!A$1:J$575,9,0)</f>
        <v>E</v>
      </c>
      <c r="D290" s="1" t="s">
        <v>4063</v>
      </c>
      <c r="E290" s="1" t="s">
        <v>4064</v>
      </c>
      <c r="F290" s="1" t="s">
        <v>180</v>
      </c>
      <c r="G290" s="1" t="s">
        <v>4065</v>
      </c>
      <c r="H290" s="1" t="s">
        <v>2197</v>
      </c>
      <c r="I290" s="1" t="s">
        <v>2197</v>
      </c>
      <c r="J290" s="1" t="s">
        <v>4066</v>
      </c>
      <c r="K290" s="1" t="s">
        <v>4067</v>
      </c>
      <c r="L290" s="1">
        <v>0.5</v>
      </c>
      <c r="M290" s="1" t="s">
        <v>2197</v>
      </c>
      <c r="N290" s="1" t="s">
        <v>4068</v>
      </c>
      <c r="O290" s="1" t="s">
        <v>68</v>
      </c>
      <c r="P290" s="1">
        <v>1041.0</v>
      </c>
      <c r="Q290" s="1" t="s">
        <v>2197</v>
      </c>
      <c r="R290" s="1" t="s">
        <v>4067</v>
      </c>
      <c r="S290" s="1" t="s">
        <v>2439</v>
      </c>
      <c r="T290" s="1" t="s">
        <v>4069</v>
      </c>
      <c r="U290" s="1" t="s">
        <v>71</v>
      </c>
      <c r="V290" s="1" t="s">
        <v>72</v>
      </c>
      <c r="W290" s="1" t="s">
        <v>31</v>
      </c>
      <c r="X290" s="1" t="s">
        <v>31</v>
      </c>
      <c r="Y290" s="1" t="s">
        <v>73</v>
      </c>
      <c r="Z290" s="1" t="s">
        <v>51</v>
      </c>
      <c r="AA290" s="1" t="s">
        <v>31</v>
      </c>
      <c r="AB290" s="1" t="s">
        <v>31</v>
      </c>
      <c r="AC290" s="1" t="s">
        <v>74</v>
      </c>
      <c r="AD290" s="1" t="s">
        <v>31</v>
      </c>
      <c r="AE290" s="5"/>
    </row>
    <row r="291" ht="14.25" customHeight="1">
      <c r="A291" s="1" t="s">
        <v>33</v>
      </c>
      <c r="B291" s="1">
        <v>1.1000453E7</v>
      </c>
      <c r="C291" s="1" t="str">
        <f>VLOOKUP(B291,Equipment!A$1:J$575,9,0)</f>
        <v>E</v>
      </c>
      <c r="D291" s="1" t="s">
        <v>4072</v>
      </c>
      <c r="E291" s="1" t="s">
        <v>4073</v>
      </c>
      <c r="F291" s="1" t="s">
        <v>283</v>
      </c>
      <c r="G291" s="1" t="s">
        <v>4074</v>
      </c>
      <c r="H291" s="1" t="s">
        <v>2197</v>
      </c>
      <c r="I291" s="1" t="s">
        <v>2197</v>
      </c>
      <c r="J291" s="1" t="s">
        <v>803</v>
      </c>
      <c r="K291" s="1" t="s">
        <v>4075</v>
      </c>
      <c r="L291" s="1">
        <v>10.25</v>
      </c>
      <c r="M291" s="1" t="s">
        <v>2197</v>
      </c>
      <c r="N291" s="1" t="s">
        <v>4076</v>
      </c>
      <c r="O291" s="1" t="s">
        <v>68</v>
      </c>
      <c r="P291" s="1">
        <v>1041.0</v>
      </c>
      <c r="Q291" s="1" t="s">
        <v>2197</v>
      </c>
      <c r="R291" s="1" t="s">
        <v>4075</v>
      </c>
      <c r="S291" s="1" t="s">
        <v>2439</v>
      </c>
      <c r="T291" s="1" t="s">
        <v>4077</v>
      </c>
      <c r="U291" s="1" t="s">
        <v>71</v>
      </c>
      <c r="V291" s="1" t="s">
        <v>72</v>
      </c>
      <c r="W291" s="1" t="s">
        <v>31</v>
      </c>
      <c r="X291" s="1" t="s">
        <v>31</v>
      </c>
      <c r="Y291" s="1" t="s">
        <v>73</v>
      </c>
      <c r="Z291" s="1" t="s">
        <v>51</v>
      </c>
      <c r="AA291" s="1" t="s">
        <v>31</v>
      </c>
      <c r="AB291" s="1" t="s">
        <v>31</v>
      </c>
      <c r="AC291" s="1" t="s">
        <v>74</v>
      </c>
      <c r="AD291" s="1" t="s">
        <v>31</v>
      </c>
      <c r="AE291" s="5"/>
    </row>
    <row r="292" ht="14.25" customHeight="1">
      <c r="A292" s="1" t="s">
        <v>33</v>
      </c>
      <c r="B292" s="1">
        <v>1.1000455E7</v>
      </c>
      <c r="C292" s="1" t="str">
        <f>VLOOKUP(B292,Equipment!A$1:J$575,9,0)</f>
        <v>E</v>
      </c>
      <c r="D292" s="1" t="s">
        <v>4080</v>
      </c>
      <c r="E292" s="1" t="s">
        <v>4081</v>
      </c>
      <c r="F292" s="1" t="s">
        <v>81</v>
      </c>
      <c r="G292" s="1" t="s">
        <v>4083</v>
      </c>
      <c r="H292" s="1" t="s">
        <v>2197</v>
      </c>
      <c r="I292" s="1" t="s">
        <v>2197</v>
      </c>
      <c r="J292" s="1" t="s">
        <v>512</v>
      </c>
      <c r="K292" s="1" t="s">
        <v>4084</v>
      </c>
      <c r="L292" s="1">
        <v>3.0</v>
      </c>
      <c r="M292" s="1" t="s">
        <v>2197</v>
      </c>
      <c r="N292" s="1" t="s">
        <v>4085</v>
      </c>
      <c r="O292" s="1" t="s">
        <v>68</v>
      </c>
      <c r="P292" s="1">
        <v>1041.0</v>
      </c>
      <c r="Q292" s="1" t="s">
        <v>2197</v>
      </c>
      <c r="R292" s="1" t="s">
        <v>4084</v>
      </c>
      <c r="S292" s="1" t="s">
        <v>2439</v>
      </c>
      <c r="T292" s="1" t="s">
        <v>4086</v>
      </c>
      <c r="U292" s="1" t="s">
        <v>71</v>
      </c>
      <c r="V292" s="1" t="s">
        <v>72</v>
      </c>
      <c r="W292" s="1" t="s">
        <v>31</v>
      </c>
      <c r="X292" s="1" t="s">
        <v>31</v>
      </c>
      <c r="Y292" s="1" t="s">
        <v>73</v>
      </c>
      <c r="Z292" s="1" t="s">
        <v>51</v>
      </c>
      <c r="AA292" s="1" t="s">
        <v>31</v>
      </c>
      <c r="AB292" s="1" t="s">
        <v>31</v>
      </c>
      <c r="AC292" s="1" t="s">
        <v>74</v>
      </c>
      <c r="AD292" s="1" t="s">
        <v>31</v>
      </c>
      <c r="AE292" s="5"/>
    </row>
    <row r="293" ht="14.25" customHeight="1">
      <c r="A293" s="1" t="s">
        <v>33</v>
      </c>
      <c r="B293" s="1">
        <v>1.1000486E7</v>
      </c>
      <c r="C293" s="1" t="str">
        <f>VLOOKUP(B293,Equipment!A$1:J$575,9,0)</f>
        <v>E</v>
      </c>
      <c r="D293" s="1" t="s">
        <v>4088</v>
      </c>
      <c r="E293" s="1" t="s">
        <v>4089</v>
      </c>
      <c r="F293" s="1" t="s">
        <v>1036</v>
      </c>
      <c r="G293" s="1" t="s">
        <v>4090</v>
      </c>
      <c r="H293" s="1" t="s">
        <v>2197</v>
      </c>
      <c r="I293" s="1" t="s">
        <v>2197</v>
      </c>
      <c r="J293" s="1" t="s">
        <v>490</v>
      </c>
      <c r="K293" s="1" t="s">
        <v>4093</v>
      </c>
      <c r="L293" s="1">
        <v>0.5</v>
      </c>
      <c r="M293" s="1" t="s">
        <v>2197</v>
      </c>
      <c r="N293" s="1" t="s">
        <v>4094</v>
      </c>
      <c r="O293" s="1" t="s">
        <v>68</v>
      </c>
      <c r="P293" s="1">
        <v>1041.0</v>
      </c>
      <c r="Q293" s="1" t="s">
        <v>2197</v>
      </c>
      <c r="R293" s="1" t="s">
        <v>4093</v>
      </c>
      <c r="S293" s="1" t="s">
        <v>2439</v>
      </c>
      <c r="T293" s="1" t="s">
        <v>4095</v>
      </c>
      <c r="U293" s="1" t="s">
        <v>71</v>
      </c>
      <c r="V293" s="1" t="s">
        <v>72</v>
      </c>
      <c r="W293" s="1" t="s">
        <v>31</v>
      </c>
      <c r="X293" s="1" t="s">
        <v>31</v>
      </c>
      <c r="Y293" s="1" t="s">
        <v>73</v>
      </c>
      <c r="Z293" s="1" t="s">
        <v>51</v>
      </c>
      <c r="AA293" s="1" t="s">
        <v>31</v>
      </c>
      <c r="AB293" s="1" t="s">
        <v>31</v>
      </c>
      <c r="AC293" s="1" t="s">
        <v>74</v>
      </c>
      <c r="AD293" s="1" t="s">
        <v>31</v>
      </c>
      <c r="AE293" s="5"/>
    </row>
    <row r="294" ht="14.25" customHeight="1">
      <c r="A294" s="1" t="s">
        <v>33</v>
      </c>
      <c r="B294" s="1">
        <v>1.1000493E7</v>
      </c>
      <c r="C294" s="1" t="str">
        <f>VLOOKUP(B294,Equipment!A$1:J$575,9,0)</f>
        <v>E</v>
      </c>
      <c r="D294" s="1" t="s">
        <v>4100</v>
      </c>
      <c r="E294" s="1" t="s">
        <v>4101</v>
      </c>
      <c r="F294" s="1" t="s">
        <v>206</v>
      </c>
      <c r="G294" s="1" t="s">
        <v>4102</v>
      </c>
      <c r="H294" s="1" t="s">
        <v>2197</v>
      </c>
      <c r="I294" s="1" t="s">
        <v>2197</v>
      </c>
      <c r="J294" s="1" t="s">
        <v>4103</v>
      </c>
      <c r="K294" s="1" t="s">
        <v>4104</v>
      </c>
      <c r="L294" s="1">
        <v>7.5</v>
      </c>
      <c r="M294" s="1" t="s">
        <v>2197</v>
      </c>
      <c r="N294" s="1" t="s">
        <v>4106</v>
      </c>
      <c r="O294" s="1" t="s">
        <v>68</v>
      </c>
      <c r="P294" s="1">
        <v>1041.0</v>
      </c>
      <c r="Q294" s="1" t="s">
        <v>2197</v>
      </c>
      <c r="R294" s="1" t="s">
        <v>4104</v>
      </c>
      <c r="S294" s="1" t="s">
        <v>2439</v>
      </c>
      <c r="T294" s="1" t="s">
        <v>4107</v>
      </c>
      <c r="U294" s="1" t="s">
        <v>71</v>
      </c>
      <c r="V294" s="1" t="s">
        <v>72</v>
      </c>
      <c r="W294" s="1" t="s">
        <v>31</v>
      </c>
      <c r="X294" s="1" t="s">
        <v>31</v>
      </c>
      <c r="Y294" s="1" t="s">
        <v>73</v>
      </c>
      <c r="Z294" s="1" t="s">
        <v>51</v>
      </c>
      <c r="AA294" s="1" t="s">
        <v>31</v>
      </c>
      <c r="AB294" s="1" t="s">
        <v>31</v>
      </c>
      <c r="AC294" s="1" t="s">
        <v>74</v>
      </c>
      <c r="AD294" s="1" t="s">
        <v>31</v>
      </c>
      <c r="AE294" s="5"/>
    </row>
    <row r="295" ht="14.25" customHeight="1">
      <c r="A295" s="1" t="s">
        <v>33</v>
      </c>
      <c r="B295" s="1">
        <v>1.1000493E7</v>
      </c>
      <c r="C295" s="1" t="str">
        <f>VLOOKUP(B295,Equipment!A$1:J$575,9,0)</f>
        <v>E</v>
      </c>
      <c r="D295" s="1" t="s">
        <v>4110</v>
      </c>
      <c r="E295" s="1" t="s">
        <v>4111</v>
      </c>
      <c r="F295" s="1" t="s">
        <v>206</v>
      </c>
      <c r="G295" s="1" t="s">
        <v>4113</v>
      </c>
      <c r="H295" s="1" t="s">
        <v>2197</v>
      </c>
      <c r="I295" s="1" t="s">
        <v>2197</v>
      </c>
      <c r="J295" s="1" t="s">
        <v>4103</v>
      </c>
      <c r="K295" s="1" t="s">
        <v>4114</v>
      </c>
      <c r="L295" s="1">
        <v>7.5</v>
      </c>
      <c r="M295" s="1" t="s">
        <v>2197</v>
      </c>
      <c r="N295" s="1" t="s">
        <v>4115</v>
      </c>
      <c r="O295" s="1" t="s">
        <v>68</v>
      </c>
      <c r="P295" s="1">
        <v>1041.0</v>
      </c>
      <c r="Q295" s="1" t="s">
        <v>2197</v>
      </c>
      <c r="R295" s="1" t="s">
        <v>4114</v>
      </c>
      <c r="S295" s="1" t="s">
        <v>2439</v>
      </c>
      <c r="T295" s="1" t="s">
        <v>4116</v>
      </c>
      <c r="U295" s="1" t="s">
        <v>71</v>
      </c>
      <c r="V295" s="1" t="s">
        <v>72</v>
      </c>
      <c r="W295" s="1" t="s">
        <v>31</v>
      </c>
      <c r="X295" s="1" t="s">
        <v>31</v>
      </c>
      <c r="Y295" s="1" t="s">
        <v>73</v>
      </c>
      <c r="Z295" s="1" t="s">
        <v>51</v>
      </c>
      <c r="AA295" s="1" t="s">
        <v>31</v>
      </c>
      <c r="AB295" s="1" t="s">
        <v>31</v>
      </c>
      <c r="AC295" s="1" t="s">
        <v>74</v>
      </c>
      <c r="AD295" s="1" t="s">
        <v>31</v>
      </c>
      <c r="AE295" s="5"/>
    </row>
    <row r="296" ht="14.25" customHeight="1">
      <c r="A296" s="1" t="s">
        <v>33</v>
      </c>
      <c r="B296" s="1">
        <v>1.1000494E7</v>
      </c>
      <c r="C296" s="1" t="str">
        <f>VLOOKUP(B296,Equipment!A$1:J$575,9,0)</f>
        <v>E</v>
      </c>
      <c r="D296" s="1" t="s">
        <v>4121</v>
      </c>
      <c r="E296" s="1" t="s">
        <v>4123</v>
      </c>
      <c r="F296" s="1" t="s">
        <v>454</v>
      </c>
      <c r="G296" s="1" t="s">
        <v>4124</v>
      </c>
      <c r="H296" s="1" t="s">
        <v>2197</v>
      </c>
      <c r="I296" s="1" t="s">
        <v>2197</v>
      </c>
      <c r="J296" s="1" t="s">
        <v>852</v>
      </c>
      <c r="K296" s="1" t="s">
        <v>4125</v>
      </c>
      <c r="L296" s="1">
        <v>1.0</v>
      </c>
      <c r="M296" s="1" t="s">
        <v>2197</v>
      </c>
      <c r="N296" s="1" t="s">
        <v>4126</v>
      </c>
      <c r="O296" s="1" t="s">
        <v>68</v>
      </c>
      <c r="P296" s="1">
        <v>1041.0</v>
      </c>
      <c r="Q296" s="1" t="s">
        <v>2197</v>
      </c>
      <c r="R296" s="1" t="s">
        <v>4125</v>
      </c>
      <c r="S296" s="1" t="s">
        <v>2439</v>
      </c>
      <c r="T296" s="1" t="s">
        <v>4127</v>
      </c>
      <c r="U296" s="1" t="s">
        <v>71</v>
      </c>
      <c r="V296" s="1" t="s">
        <v>72</v>
      </c>
      <c r="W296" s="1" t="s">
        <v>31</v>
      </c>
      <c r="X296" s="1" t="s">
        <v>31</v>
      </c>
      <c r="Y296" s="1" t="s">
        <v>73</v>
      </c>
      <c r="Z296" s="1" t="s">
        <v>51</v>
      </c>
      <c r="AA296" s="1" t="s">
        <v>31</v>
      </c>
      <c r="AB296" s="1" t="s">
        <v>31</v>
      </c>
      <c r="AC296" s="1" t="s">
        <v>74</v>
      </c>
      <c r="AD296" s="1" t="s">
        <v>31</v>
      </c>
      <c r="AE296" s="5"/>
    </row>
    <row r="297" ht="14.25" customHeight="1">
      <c r="A297" s="1" t="s">
        <v>33</v>
      </c>
      <c r="B297" s="1">
        <v>1.1000511E7</v>
      </c>
      <c r="C297" s="1" t="str">
        <f>VLOOKUP(B297,Equipment!A$1:J$575,9,0)</f>
        <v>E</v>
      </c>
      <c r="D297" s="1" t="s">
        <v>4133</v>
      </c>
      <c r="E297" s="1" t="s">
        <v>4134</v>
      </c>
      <c r="F297" s="1" t="s">
        <v>1095</v>
      </c>
      <c r="G297" s="1" t="s">
        <v>4135</v>
      </c>
      <c r="H297" s="1" t="s">
        <v>2197</v>
      </c>
      <c r="I297" s="1" t="s">
        <v>2197</v>
      </c>
      <c r="J297" s="1" t="s">
        <v>4136</v>
      </c>
      <c r="K297" s="1" t="s">
        <v>4137</v>
      </c>
      <c r="L297" s="1">
        <v>2.17</v>
      </c>
      <c r="M297" s="1" t="s">
        <v>2197</v>
      </c>
      <c r="N297" s="1" t="s">
        <v>4138</v>
      </c>
      <c r="O297" s="1" t="s">
        <v>121</v>
      </c>
      <c r="P297" s="1">
        <v>1041.0</v>
      </c>
      <c r="Q297" s="1" t="s">
        <v>2197</v>
      </c>
      <c r="R297" s="1" t="s">
        <v>4137</v>
      </c>
      <c r="S297" s="1" t="s">
        <v>2439</v>
      </c>
      <c r="T297" s="1" t="s">
        <v>4140</v>
      </c>
      <c r="U297" s="1" t="s">
        <v>71</v>
      </c>
      <c r="V297" s="1" t="s">
        <v>72</v>
      </c>
      <c r="W297" s="1" t="s">
        <v>31</v>
      </c>
      <c r="X297" s="1" t="s">
        <v>31</v>
      </c>
      <c r="Y297" s="1" t="s">
        <v>73</v>
      </c>
      <c r="Z297" s="1" t="s">
        <v>51</v>
      </c>
      <c r="AA297" s="1" t="s">
        <v>31</v>
      </c>
      <c r="AB297" s="1" t="s">
        <v>31</v>
      </c>
      <c r="AC297" s="1" t="s">
        <v>656</v>
      </c>
      <c r="AD297" s="1" t="s">
        <v>31</v>
      </c>
      <c r="AE297" s="5"/>
    </row>
    <row r="298" ht="14.25" customHeight="1">
      <c r="A298" s="1" t="s">
        <v>33</v>
      </c>
      <c r="B298" s="1">
        <v>1.1000227E7</v>
      </c>
      <c r="C298" s="1" t="str">
        <f>VLOOKUP(B298,Equipment!A$1:J$575,9,0)</f>
        <v>E</v>
      </c>
      <c r="D298" s="1" t="s">
        <v>4143</v>
      </c>
      <c r="E298" s="1" t="s">
        <v>4144</v>
      </c>
      <c r="F298" s="1" t="s">
        <v>326</v>
      </c>
      <c r="G298" s="1" t="s">
        <v>4145</v>
      </c>
      <c r="H298" s="1" t="s">
        <v>2197</v>
      </c>
      <c r="I298" s="1" t="s">
        <v>2197</v>
      </c>
      <c r="J298" s="1" t="s">
        <v>803</v>
      </c>
      <c r="K298" s="1" t="s">
        <v>4146</v>
      </c>
      <c r="L298" s="1">
        <v>1.83</v>
      </c>
      <c r="M298" s="1" t="s">
        <v>2197</v>
      </c>
      <c r="N298" s="1" t="s">
        <v>803</v>
      </c>
      <c r="O298" s="1" t="s">
        <v>121</v>
      </c>
      <c r="P298" s="1">
        <v>2001.0</v>
      </c>
      <c r="Q298" s="1" t="s">
        <v>2576</v>
      </c>
      <c r="R298" s="1" t="s">
        <v>4147</v>
      </c>
      <c r="S298" s="1" t="s">
        <v>31</v>
      </c>
      <c r="T298" s="1" t="s">
        <v>73</v>
      </c>
      <c r="U298" s="1" t="s">
        <v>71</v>
      </c>
      <c r="V298" s="1" t="s">
        <v>72</v>
      </c>
      <c r="W298" s="1" t="s">
        <v>31</v>
      </c>
      <c r="X298" s="1" t="s">
        <v>2197</v>
      </c>
      <c r="Y298" s="1" t="s">
        <v>4149</v>
      </c>
      <c r="Z298" s="1" t="s">
        <v>51</v>
      </c>
      <c r="AA298" s="1" t="s">
        <v>31</v>
      </c>
      <c r="AB298" s="1" t="s">
        <v>31</v>
      </c>
      <c r="AC298" s="1" t="s">
        <v>331</v>
      </c>
      <c r="AD298" s="1" t="s">
        <v>31</v>
      </c>
      <c r="AE298" s="5"/>
    </row>
    <row r="299" ht="14.25" customHeight="1">
      <c r="A299" s="1" t="s">
        <v>33</v>
      </c>
      <c r="B299" s="1">
        <v>1.1000322E7</v>
      </c>
      <c r="C299" s="1" t="str">
        <f>VLOOKUP(B299,Equipment!A$1:J$575,9,0)</f>
        <v>E</v>
      </c>
      <c r="D299" s="1" t="s">
        <v>4152</v>
      </c>
      <c r="E299" s="1" t="s">
        <v>4153</v>
      </c>
      <c r="F299" s="1" t="s">
        <v>127</v>
      </c>
      <c r="G299" s="1" t="s">
        <v>3224</v>
      </c>
      <c r="H299" s="1" t="s">
        <v>2197</v>
      </c>
      <c r="I299" s="1" t="s">
        <v>2197</v>
      </c>
      <c r="J299" s="1" t="s">
        <v>4154</v>
      </c>
      <c r="K299" s="1" t="s">
        <v>4155</v>
      </c>
      <c r="L299" s="1">
        <v>0.75</v>
      </c>
      <c r="M299" s="1" t="s">
        <v>2197</v>
      </c>
      <c r="N299" s="1" t="s">
        <v>4154</v>
      </c>
      <c r="O299" s="1" t="s">
        <v>131</v>
      </c>
      <c r="P299" s="1">
        <v>2001.0</v>
      </c>
      <c r="Q299" s="1" t="s">
        <v>2439</v>
      </c>
      <c r="R299" s="1" t="s">
        <v>4156</v>
      </c>
      <c r="S299" s="1" t="s">
        <v>31</v>
      </c>
      <c r="T299" s="1" t="s">
        <v>73</v>
      </c>
      <c r="U299" s="1" t="s">
        <v>71</v>
      </c>
      <c r="V299" s="1" t="s">
        <v>72</v>
      </c>
      <c r="W299" s="1" t="s">
        <v>31</v>
      </c>
      <c r="X299" s="1" t="s">
        <v>2197</v>
      </c>
      <c r="Y299" s="1" t="s">
        <v>4158</v>
      </c>
      <c r="Z299" s="1" t="s">
        <v>51</v>
      </c>
      <c r="AA299" s="1" t="s">
        <v>31</v>
      </c>
      <c r="AB299" s="1" t="s">
        <v>31</v>
      </c>
      <c r="AC299" s="1" t="s">
        <v>137</v>
      </c>
      <c r="AD299" s="1" t="s">
        <v>31</v>
      </c>
      <c r="AE299" s="5"/>
    </row>
    <row r="300" ht="14.25" customHeight="1">
      <c r="A300" s="1" t="s">
        <v>33</v>
      </c>
      <c r="B300" s="1">
        <v>1.1000325E7</v>
      </c>
      <c r="C300" s="1" t="str">
        <f>VLOOKUP(B300,Equipment!A$1:J$575,9,0)</f>
        <v>E</v>
      </c>
      <c r="D300" s="1" t="s">
        <v>4161</v>
      </c>
      <c r="E300" s="1" t="s">
        <v>4162</v>
      </c>
      <c r="F300" s="1" t="s">
        <v>681</v>
      </c>
      <c r="G300" s="1" t="s">
        <v>4163</v>
      </c>
      <c r="H300" s="1" t="s">
        <v>2197</v>
      </c>
      <c r="I300" s="1" t="s">
        <v>2197</v>
      </c>
      <c r="J300" s="1" t="s">
        <v>4164</v>
      </c>
      <c r="K300" s="1" t="s">
        <v>4165</v>
      </c>
      <c r="L300" s="1">
        <v>1.0</v>
      </c>
      <c r="M300" s="1" t="s">
        <v>2197</v>
      </c>
      <c r="N300" s="1" t="s">
        <v>4164</v>
      </c>
      <c r="O300" s="1" t="s">
        <v>131</v>
      </c>
      <c r="P300" s="1">
        <v>2001.0</v>
      </c>
      <c r="Q300" s="1" t="s">
        <v>2439</v>
      </c>
      <c r="R300" s="1" t="s">
        <v>4167</v>
      </c>
      <c r="S300" s="1" t="s">
        <v>31</v>
      </c>
      <c r="T300" s="1" t="s">
        <v>73</v>
      </c>
      <c r="U300" s="1" t="s">
        <v>71</v>
      </c>
      <c r="V300" s="1" t="s">
        <v>72</v>
      </c>
      <c r="W300" s="1" t="s">
        <v>31</v>
      </c>
      <c r="X300" s="1" t="s">
        <v>2197</v>
      </c>
      <c r="Y300" s="1" t="s">
        <v>4170</v>
      </c>
      <c r="Z300" s="1" t="s">
        <v>51</v>
      </c>
      <c r="AA300" s="1" t="s">
        <v>31</v>
      </c>
      <c r="AB300" s="1" t="s">
        <v>31</v>
      </c>
      <c r="AC300" s="1" t="s">
        <v>137</v>
      </c>
      <c r="AD300" s="1" t="s">
        <v>31</v>
      </c>
      <c r="AE300" s="5"/>
    </row>
    <row r="301" ht="14.25" customHeight="1">
      <c r="A301" s="1" t="s">
        <v>33</v>
      </c>
      <c r="B301" s="1">
        <v>1.1000327E7</v>
      </c>
      <c r="C301" s="1" t="str">
        <f>VLOOKUP(B301,Equipment!A$1:J$575,9,0)</f>
        <v>E</v>
      </c>
      <c r="D301" s="1" t="s">
        <v>4173</v>
      </c>
      <c r="E301" s="1" t="s">
        <v>4174</v>
      </c>
      <c r="F301" s="1" t="s">
        <v>533</v>
      </c>
      <c r="G301" s="1" t="s">
        <v>4175</v>
      </c>
      <c r="H301" s="1" t="s">
        <v>2197</v>
      </c>
      <c r="I301" s="1" t="s">
        <v>2439</v>
      </c>
      <c r="J301" s="1" t="s">
        <v>1156</v>
      </c>
      <c r="K301" s="1" t="s">
        <v>4177</v>
      </c>
      <c r="L301" s="1">
        <v>0.75</v>
      </c>
      <c r="M301" s="1" t="s">
        <v>2197</v>
      </c>
      <c r="N301" s="1" t="s">
        <v>1156</v>
      </c>
      <c r="O301" s="1" t="s">
        <v>131</v>
      </c>
      <c r="P301" s="1">
        <v>2001.0</v>
      </c>
      <c r="Q301" s="1" t="s">
        <v>2439</v>
      </c>
      <c r="R301" s="1" t="s">
        <v>4177</v>
      </c>
      <c r="S301" s="1" t="s">
        <v>2197</v>
      </c>
      <c r="T301" s="1" t="s">
        <v>4178</v>
      </c>
      <c r="U301" s="1" t="s">
        <v>71</v>
      </c>
      <c r="V301" s="1" t="s">
        <v>72</v>
      </c>
      <c r="W301" s="1" t="s">
        <v>31</v>
      </c>
      <c r="X301" s="1" t="s">
        <v>2197</v>
      </c>
      <c r="Y301" s="1" t="s">
        <v>1156</v>
      </c>
      <c r="Z301" s="1" t="s">
        <v>51</v>
      </c>
      <c r="AA301" s="1" t="s">
        <v>31</v>
      </c>
      <c r="AB301" s="1" t="s">
        <v>31</v>
      </c>
      <c r="AC301" s="1" t="s">
        <v>538</v>
      </c>
      <c r="AD301" s="1" t="s">
        <v>31</v>
      </c>
      <c r="AE301" s="5"/>
    </row>
    <row r="302" ht="14.25" customHeight="1">
      <c r="A302" s="1" t="s">
        <v>33</v>
      </c>
      <c r="B302" s="1">
        <v>1.1000333E7</v>
      </c>
      <c r="C302" s="1" t="str">
        <f>VLOOKUP(B302,Equipment!A$1:J$575,9,0)</f>
        <v>E</v>
      </c>
      <c r="D302" s="1" t="s">
        <v>4181</v>
      </c>
      <c r="E302" s="1" t="s">
        <v>4182</v>
      </c>
      <c r="F302" s="1" t="s">
        <v>765</v>
      </c>
      <c r="G302" s="1" t="s">
        <v>2354</v>
      </c>
      <c r="H302" s="1" t="s">
        <v>2197</v>
      </c>
      <c r="I302" s="1" t="s">
        <v>2439</v>
      </c>
      <c r="J302" s="1" t="s">
        <v>772</v>
      </c>
      <c r="K302" s="1" t="s">
        <v>4183</v>
      </c>
      <c r="L302" s="1">
        <v>0.67</v>
      </c>
      <c r="M302" s="1" t="s">
        <v>2197</v>
      </c>
      <c r="N302" s="1" t="s">
        <v>772</v>
      </c>
      <c r="O302" s="1" t="s">
        <v>131</v>
      </c>
      <c r="P302" s="1">
        <v>2001.0</v>
      </c>
      <c r="Q302" s="1" t="s">
        <v>2439</v>
      </c>
      <c r="R302" s="1" t="s">
        <v>4183</v>
      </c>
      <c r="S302" s="1" t="s">
        <v>2197</v>
      </c>
      <c r="T302" s="1" t="s">
        <v>803</v>
      </c>
      <c r="U302" s="1" t="s">
        <v>71</v>
      </c>
      <c r="V302" s="1" t="s">
        <v>72</v>
      </c>
      <c r="W302" s="1" t="s">
        <v>31</v>
      </c>
      <c r="X302" s="1" t="s">
        <v>2197</v>
      </c>
      <c r="Y302" s="1" t="s">
        <v>772</v>
      </c>
      <c r="Z302" s="1" t="s">
        <v>51</v>
      </c>
      <c r="AA302" s="1" t="s">
        <v>31</v>
      </c>
      <c r="AB302" s="1" t="s">
        <v>31</v>
      </c>
      <c r="AC302" s="1" t="s">
        <v>137</v>
      </c>
      <c r="AD302" s="1" t="s">
        <v>31</v>
      </c>
      <c r="AE302" s="5"/>
    </row>
    <row r="303" ht="14.25" customHeight="1">
      <c r="A303" s="1" t="s">
        <v>33</v>
      </c>
      <c r="B303" s="1">
        <v>1.1000551E7</v>
      </c>
      <c r="C303" s="1" t="str">
        <f>VLOOKUP(B303,Equipment!A$1:J$575,9,0)</f>
        <v>E</v>
      </c>
      <c r="D303" s="1" t="s">
        <v>4187</v>
      </c>
      <c r="E303" s="1" t="s">
        <v>4188</v>
      </c>
      <c r="F303" s="1" t="s">
        <v>217</v>
      </c>
      <c r="G303" s="1" t="s">
        <v>4189</v>
      </c>
      <c r="H303" s="1" t="s">
        <v>1608</v>
      </c>
      <c r="I303" s="1" t="s">
        <v>1608</v>
      </c>
      <c r="J303" s="1" t="s">
        <v>4191</v>
      </c>
      <c r="K303" s="1" t="s">
        <v>4193</v>
      </c>
      <c r="L303" s="1">
        <v>2.66</v>
      </c>
      <c r="M303" s="1" t="s">
        <v>1608</v>
      </c>
      <c r="N303" s="1" t="s">
        <v>4194</v>
      </c>
      <c r="O303" s="1" t="s">
        <v>223</v>
      </c>
      <c r="P303" s="1">
        <v>1031.0</v>
      </c>
      <c r="Q303" s="1" t="s">
        <v>1608</v>
      </c>
      <c r="R303" s="1" t="s">
        <v>4193</v>
      </c>
      <c r="S303" s="1" t="s">
        <v>1608</v>
      </c>
      <c r="T303" s="1" t="s">
        <v>4193</v>
      </c>
      <c r="U303" s="1" t="s">
        <v>71</v>
      </c>
      <c r="V303" s="1" t="s">
        <v>72</v>
      </c>
      <c r="W303" s="1" t="s">
        <v>31</v>
      </c>
      <c r="X303" s="1" t="s">
        <v>1608</v>
      </c>
      <c r="Y303" s="1" t="s">
        <v>4196</v>
      </c>
      <c r="Z303" s="1" t="s">
        <v>51</v>
      </c>
      <c r="AA303" s="1" t="s">
        <v>31</v>
      </c>
      <c r="AB303" s="1" t="s">
        <v>31</v>
      </c>
      <c r="AC303" s="1" t="s">
        <v>227</v>
      </c>
      <c r="AD303" s="1" t="s">
        <v>31</v>
      </c>
      <c r="AE303" s="5"/>
    </row>
    <row r="304" ht="14.25" customHeight="1">
      <c r="A304" s="1" t="s">
        <v>33</v>
      </c>
      <c r="B304" s="1">
        <v>1.1000379E7</v>
      </c>
      <c r="C304" s="1" t="str">
        <f>VLOOKUP(B304,Equipment!A$1:J$575,9,0)</f>
        <v>E</v>
      </c>
      <c r="D304" s="1" t="s">
        <v>31</v>
      </c>
      <c r="E304" s="1" t="s">
        <v>4197</v>
      </c>
      <c r="F304" s="1" t="s">
        <v>386</v>
      </c>
      <c r="G304" s="1" t="s">
        <v>4198</v>
      </c>
      <c r="H304" s="1" t="s">
        <v>1608</v>
      </c>
      <c r="I304" s="1" t="s">
        <v>31</v>
      </c>
      <c r="J304" s="1" t="s">
        <v>4199</v>
      </c>
      <c r="K304" s="1" t="s">
        <v>73</v>
      </c>
      <c r="L304" s="1">
        <v>0.0</v>
      </c>
      <c r="M304" s="1" t="s">
        <v>1608</v>
      </c>
      <c r="N304" s="1" t="s">
        <v>4199</v>
      </c>
      <c r="O304" s="1" t="s">
        <v>68</v>
      </c>
      <c r="P304" s="1">
        <v>1041.0</v>
      </c>
      <c r="Q304" s="1" t="s">
        <v>1608</v>
      </c>
      <c r="R304" s="1" t="s">
        <v>4200</v>
      </c>
      <c r="S304" s="1" t="s">
        <v>2197</v>
      </c>
      <c r="T304" s="1" t="s">
        <v>4201</v>
      </c>
      <c r="U304" s="1" t="s">
        <v>71</v>
      </c>
      <c r="V304" s="1" t="s">
        <v>72</v>
      </c>
      <c r="W304" s="1" t="s">
        <v>31</v>
      </c>
      <c r="X304" s="1" t="s">
        <v>31</v>
      </c>
      <c r="Y304" s="1" t="s">
        <v>73</v>
      </c>
      <c r="Z304" s="1" t="s">
        <v>51</v>
      </c>
      <c r="AA304" s="1" t="s">
        <v>31</v>
      </c>
      <c r="AB304" s="1" t="s">
        <v>31</v>
      </c>
      <c r="AC304" s="1" t="s">
        <v>74</v>
      </c>
      <c r="AD304" s="1" t="s">
        <v>31</v>
      </c>
      <c r="AE304" s="5"/>
    </row>
    <row r="305" ht="14.25" customHeight="1">
      <c r="A305" s="1" t="s">
        <v>33</v>
      </c>
      <c r="B305" s="1">
        <v>1.1000389E7</v>
      </c>
      <c r="C305" s="1" t="str">
        <f>VLOOKUP(B305,Equipment!A$1:J$575,9,0)</f>
        <v>E</v>
      </c>
      <c r="D305" s="1" t="s">
        <v>4204</v>
      </c>
      <c r="E305" s="1" t="s">
        <v>4205</v>
      </c>
      <c r="F305" s="1" t="s">
        <v>60</v>
      </c>
      <c r="G305" s="1" t="s">
        <v>4207</v>
      </c>
      <c r="H305" s="1" t="s">
        <v>1608</v>
      </c>
      <c r="I305" s="1" t="s">
        <v>31</v>
      </c>
      <c r="J305" s="1" t="s">
        <v>4208</v>
      </c>
      <c r="K305" s="1" t="s">
        <v>73</v>
      </c>
      <c r="L305" s="1">
        <v>0.0</v>
      </c>
      <c r="M305" s="1" t="s">
        <v>1608</v>
      </c>
      <c r="N305" s="1" t="s">
        <v>4208</v>
      </c>
      <c r="O305" s="1" t="s">
        <v>68</v>
      </c>
      <c r="P305" s="1">
        <v>1041.0</v>
      </c>
      <c r="Q305" s="1" t="s">
        <v>1608</v>
      </c>
      <c r="R305" s="1" t="s">
        <v>4209</v>
      </c>
      <c r="S305" s="1" t="s">
        <v>2576</v>
      </c>
      <c r="T305" s="1" t="s">
        <v>4210</v>
      </c>
      <c r="U305" s="1" t="s">
        <v>71</v>
      </c>
      <c r="V305" s="1" t="s">
        <v>72</v>
      </c>
      <c r="W305" s="1" t="s">
        <v>31</v>
      </c>
      <c r="X305" s="1" t="s">
        <v>1608</v>
      </c>
      <c r="Y305" s="1" t="s">
        <v>4210</v>
      </c>
      <c r="Z305" s="1" t="s">
        <v>51</v>
      </c>
      <c r="AA305" s="1" t="s">
        <v>31</v>
      </c>
      <c r="AB305" s="1" t="s">
        <v>31</v>
      </c>
      <c r="AC305" s="1" t="s">
        <v>74</v>
      </c>
      <c r="AD305" s="1" t="s">
        <v>31</v>
      </c>
      <c r="AE305" s="5"/>
    </row>
    <row r="306" ht="14.25" customHeight="1">
      <c r="A306" s="1" t="s">
        <v>33</v>
      </c>
      <c r="B306" s="1">
        <v>1.100039E7</v>
      </c>
      <c r="C306" s="1" t="str">
        <f>VLOOKUP(B306,Equipment!A$1:J$575,9,0)</f>
        <v>E</v>
      </c>
      <c r="D306" s="1" t="s">
        <v>31</v>
      </c>
      <c r="E306" s="1" t="s">
        <v>4213</v>
      </c>
      <c r="F306" s="1" t="s">
        <v>608</v>
      </c>
      <c r="G306" s="1" t="s">
        <v>2860</v>
      </c>
      <c r="H306" s="1" t="s">
        <v>1608</v>
      </c>
      <c r="I306" s="1" t="s">
        <v>31</v>
      </c>
      <c r="J306" s="1" t="s">
        <v>4215</v>
      </c>
      <c r="K306" s="1" t="s">
        <v>73</v>
      </c>
      <c r="L306" s="1">
        <v>0.0</v>
      </c>
      <c r="M306" s="1" t="s">
        <v>1608</v>
      </c>
      <c r="N306" s="1" t="s">
        <v>4215</v>
      </c>
      <c r="O306" s="1" t="s">
        <v>68</v>
      </c>
      <c r="P306" s="1">
        <v>1041.0</v>
      </c>
      <c r="Q306" s="1" t="s">
        <v>1608</v>
      </c>
      <c r="R306" s="1" t="s">
        <v>4216</v>
      </c>
      <c r="S306" s="1" t="s">
        <v>2576</v>
      </c>
      <c r="T306" s="1" t="s">
        <v>4217</v>
      </c>
      <c r="U306" s="1" t="s">
        <v>71</v>
      </c>
      <c r="V306" s="1" t="s">
        <v>72</v>
      </c>
      <c r="W306" s="1" t="s">
        <v>31</v>
      </c>
      <c r="X306" s="1" t="s">
        <v>31</v>
      </c>
      <c r="Y306" s="1" t="s">
        <v>73</v>
      </c>
      <c r="Z306" s="1" t="s">
        <v>51</v>
      </c>
      <c r="AA306" s="1" t="s">
        <v>31</v>
      </c>
      <c r="AB306" s="1" t="s">
        <v>31</v>
      </c>
      <c r="AC306" s="1" t="s">
        <v>74</v>
      </c>
      <c r="AD306" s="1" t="s">
        <v>31</v>
      </c>
      <c r="AE306" s="5"/>
    </row>
    <row r="307" ht="14.25" customHeight="1">
      <c r="A307" s="1" t="s">
        <v>33</v>
      </c>
      <c r="B307" s="1">
        <v>1.100039E7</v>
      </c>
      <c r="C307" s="1" t="str">
        <f>VLOOKUP(B307,Equipment!A$1:J$575,9,0)</f>
        <v>E</v>
      </c>
      <c r="D307" s="1" t="s">
        <v>31</v>
      </c>
      <c r="E307" s="1" t="s">
        <v>4223</v>
      </c>
      <c r="F307" s="1" t="s">
        <v>608</v>
      </c>
      <c r="G307" s="1" t="s">
        <v>4224</v>
      </c>
      <c r="H307" s="1" t="s">
        <v>1608</v>
      </c>
      <c r="I307" s="1" t="s">
        <v>31</v>
      </c>
      <c r="J307" s="1" t="s">
        <v>4225</v>
      </c>
      <c r="K307" s="1" t="s">
        <v>73</v>
      </c>
      <c r="L307" s="1">
        <v>0.0</v>
      </c>
      <c r="M307" s="1" t="s">
        <v>1608</v>
      </c>
      <c r="N307" s="1" t="s">
        <v>4225</v>
      </c>
      <c r="O307" s="1" t="s">
        <v>68</v>
      </c>
      <c r="P307" s="1">
        <v>1041.0</v>
      </c>
      <c r="Q307" s="1" t="s">
        <v>1608</v>
      </c>
      <c r="R307" s="1" t="s">
        <v>4227</v>
      </c>
      <c r="S307" s="1" t="s">
        <v>2576</v>
      </c>
      <c r="T307" s="1" t="s">
        <v>4228</v>
      </c>
      <c r="U307" s="1" t="s">
        <v>71</v>
      </c>
      <c r="V307" s="1" t="s">
        <v>72</v>
      </c>
      <c r="W307" s="1" t="s">
        <v>31</v>
      </c>
      <c r="X307" s="1" t="s">
        <v>31</v>
      </c>
      <c r="Y307" s="1" t="s">
        <v>73</v>
      </c>
      <c r="Z307" s="1" t="s">
        <v>51</v>
      </c>
      <c r="AA307" s="1" t="s">
        <v>31</v>
      </c>
      <c r="AB307" s="1" t="s">
        <v>31</v>
      </c>
      <c r="AC307" s="1" t="s">
        <v>74</v>
      </c>
      <c r="AD307" s="1" t="s">
        <v>31</v>
      </c>
      <c r="AE307" s="5"/>
    </row>
    <row r="308" ht="14.25" customHeight="1">
      <c r="A308" s="1" t="s">
        <v>33</v>
      </c>
      <c r="B308" s="1">
        <v>1.1000391E7</v>
      </c>
      <c r="C308" s="1" t="str">
        <f>VLOOKUP(B308,Equipment!A$1:J$575,9,0)</f>
        <v>#N/A</v>
      </c>
      <c r="D308" s="1" t="s">
        <v>4234</v>
      </c>
      <c r="E308" s="1" t="s">
        <v>4235</v>
      </c>
      <c r="F308" s="1" t="s">
        <v>3123</v>
      </c>
      <c r="G308" s="1" t="s">
        <v>4236</v>
      </c>
      <c r="H308" s="1" t="s">
        <v>1608</v>
      </c>
      <c r="I308" s="1" t="s">
        <v>1608</v>
      </c>
      <c r="J308" s="1" t="s">
        <v>803</v>
      </c>
      <c r="K308" s="1" t="s">
        <v>4237</v>
      </c>
      <c r="L308" s="1">
        <v>1.0</v>
      </c>
      <c r="M308" s="1" t="s">
        <v>1608</v>
      </c>
      <c r="N308" s="1" t="s">
        <v>4238</v>
      </c>
      <c r="O308" s="1" t="s">
        <v>68</v>
      </c>
      <c r="P308" s="1">
        <v>1041.0</v>
      </c>
      <c r="Q308" s="1" t="s">
        <v>1608</v>
      </c>
      <c r="R308" s="1" t="s">
        <v>4237</v>
      </c>
      <c r="S308" s="1" t="s">
        <v>1608</v>
      </c>
      <c r="T308" s="1" t="s">
        <v>4239</v>
      </c>
      <c r="U308" s="1" t="s">
        <v>71</v>
      </c>
      <c r="V308" s="1" t="s">
        <v>72</v>
      </c>
      <c r="W308" s="1" t="s">
        <v>31</v>
      </c>
      <c r="X308" s="1" t="s">
        <v>1608</v>
      </c>
      <c r="Y308" s="1" t="s">
        <v>4239</v>
      </c>
      <c r="Z308" s="1" t="s">
        <v>51</v>
      </c>
      <c r="AA308" s="1" t="s">
        <v>31</v>
      </c>
      <c r="AB308" s="1" t="s">
        <v>31</v>
      </c>
      <c r="AC308" s="1" t="s">
        <v>74</v>
      </c>
      <c r="AD308" s="1" t="s">
        <v>31</v>
      </c>
      <c r="AE308" s="5"/>
    </row>
    <row r="309" ht="14.25" customHeight="1">
      <c r="A309" s="1" t="s">
        <v>33</v>
      </c>
      <c r="B309" s="1">
        <v>1.1000453E7</v>
      </c>
      <c r="C309" s="1" t="str">
        <f>VLOOKUP(B309,Equipment!A$1:J$575,9,0)</f>
        <v>E</v>
      </c>
      <c r="D309" s="1" t="s">
        <v>31</v>
      </c>
      <c r="E309" s="1" t="s">
        <v>4241</v>
      </c>
      <c r="F309" s="1" t="s">
        <v>283</v>
      </c>
      <c r="G309" s="1" t="s">
        <v>4242</v>
      </c>
      <c r="H309" s="1" t="s">
        <v>1608</v>
      </c>
      <c r="I309" s="1" t="s">
        <v>31</v>
      </c>
      <c r="J309" s="1" t="s">
        <v>4243</v>
      </c>
      <c r="K309" s="1" t="s">
        <v>73</v>
      </c>
      <c r="L309" s="1">
        <v>0.0</v>
      </c>
      <c r="M309" s="1" t="s">
        <v>1608</v>
      </c>
      <c r="N309" s="1" t="s">
        <v>4243</v>
      </c>
      <c r="O309" s="1" t="s">
        <v>68</v>
      </c>
      <c r="P309" s="1">
        <v>1041.0</v>
      </c>
      <c r="Q309" s="1" t="s">
        <v>1608</v>
      </c>
      <c r="R309" s="1" t="s">
        <v>4245</v>
      </c>
      <c r="S309" s="1" t="s">
        <v>2197</v>
      </c>
      <c r="T309" s="1" t="s">
        <v>4246</v>
      </c>
      <c r="U309" s="1" t="s">
        <v>71</v>
      </c>
      <c r="V309" s="1" t="s">
        <v>72</v>
      </c>
      <c r="W309" s="1" t="s">
        <v>31</v>
      </c>
      <c r="X309" s="1" t="s">
        <v>31</v>
      </c>
      <c r="Y309" s="1" t="s">
        <v>73</v>
      </c>
      <c r="Z309" s="1" t="s">
        <v>51</v>
      </c>
      <c r="AA309" s="1" t="s">
        <v>31</v>
      </c>
      <c r="AB309" s="1" t="s">
        <v>31</v>
      </c>
      <c r="AC309" s="1" t="s">
        <v>74</v>
      </c>
      <c r="AD309" s="1" t="s">
        <v>31</v>
      </c>
      <c r="AE309" s="5"/>
    </row>
    <row r="310" ht="14.25" customHeight="1">
      <c r="A310" s="1" t="s">
        <v>33</v>
      </c>
      <c r="B310" s="1">
        <v>1.1000454E7</v>
      </c>
      <c r="C310" s="1" t="str">
        <f>VLOOKUP(B310,Equipment!A$1:J$575,9,0)</f>
        <v>E</v>
      </c>
      <c r="D310" s="1" t="s">
        <v>31</v>
      </c>
      <c r="E310" s="1" t="s">
        <v>4247</v>
      </c>
      <c r="F310" s="1" t="s">
        <v>294</v>
      </c>
      <c r="G310" s="1" t="s">
        <v>4248</v>
      </c>
      <c r="H310" s="1" t="s">
        <v>1608</v>
      </c>
      <c r="I310" s="1" t="s">
        <v>31</v>
      </c>
      <c r="J310" s="1" t="s">
        <v>4249</v>
      </c>
      <c r="K310" s="1" t="s">
        <v>73</v>
      </c>
      <c r="L310" s="1">
        <v>0.0</v>
      </c>
      <c r="M310" s="1" t="s">
        <v>1608</v>
      </c>
      <c r="N310" s="1" t="s">
        <v>4250</v>
      </c>
      <c r="O310" s="1" t="s">
        <v>68</v>
      </c>
      <c r="P310" s="1">
        <v>1041.0</v>
      </c>
      <c r="Q310" s="1" t="s">
        <v>1608</v>
      </c>
      <c r="R310" s="1" t="s">
        <v>120</v>
      </c>
      <c r="S310" s="1" t="s">
        <v>2197</v>
      </c>
      <c r="T310" s="1" t="s">
        <v>4251</v>
      </c>
      <c r="U310" s="1" t="s">
        <v>71</v>
      </c>
      <c r="V310" s="1" t="s">
        <v>72</v>
      </c>
      <c r="W310" s="1" t="s">
        <v>31</v>
      </c>
      <c r="X310" s="1" t="s">
        <v>1608</v>
      </c>
      <c r="Y310" s="1" t="s">
        <v>4251</v>
      </c>
      <c r="Z310" s="1" t="s">
        <v>51</v>
      </c>
      <c r="AA310" s="1" t="s">
        <v>31</v>
      </c>
      <c r="AB310" s="1" t="s">
        <v>31</v>
      </c>
      <c r="AC310" s="1" t="s">
        <v>74</v>
      </c>
      <c r="AD310" s="1" t="s">
        <v>31</v>
      </c>
      <c r="AE310" s="5"/>
    </row>
    <row r="311" ht="14.25" customHeight="1">
      <c r="A311" s="1" t="s">
        <v>33</v>
      </c>
      <c r="B311" s="1">
        <v>1.1000454E7</v>
      </c>
      <c r="C311" s="1" t="str">
        <f>VLOOKUP(B311,Equipment!A$1:J$575,9,0)</f>
        <v>E</v>
      </c>
      <c r="D311" s="1" t="s">
        <v>4254</v>
      </c>
      <c r="E311" s="1" t="s">
        <v>4255</v>
      </c>
      <c r="F311" s="1" t="s">
        <v>294</v>
      </c>
      <c r="G311" s="1" t="s">
        <v>4257</v>
      </c>
      <c r="H311" s="1" t="s">
        <v>1608</v>
      </c>
      <c r="I311" s="1" t="s">
        <v>2197</v>
      </c>
      <c r="J311" s="1" t="s">
        <v>4258</v>
      </c>
      <c r="K311" s="1" t="s">
        <v>4260</v>
      </c>
      <c r="L311" s="1">
        <v>0.75</v>
      </c>
      <c r="M311" s="1" t="s">
        <v>1608</v>
      </c>
      <c r="N311" s="1" t="s">
        <v>4261</v>
      </c>
      <c r="O311" s="1" t="s">
        <v>68</v>
      </c>
      <c r="P311" s="1">
        <v>1041.0</v>
      </c>
      <c r="Q311" s="1" t="s">
        <v>2197</v>
      </c>
      <c r="R311" s="1" t="s">
        <v>4260</v>
      </c>
      <c r="S311" s="1" t="s">
        <v>2197</v>
      </c>
      <c r="T311" s="1" t="s">
        <v>4262</v>
      </c>
      <c r="U311" s="1" t="s">
        <v>71</v>
      </c>
      <c r="V311" s="1" t="s">
        <v>72</v>
      </c>
      <c r="W311" s="1" t="s">
        <v>31</v>
      </c>
      <c r="X311" s="1" t="s">
        <v>1608</v>
      </c>
      <c r="Y311" s="1" t="s">
        <v>4262</v>
      </c>
      <c r="Z311" s="1" t="s">
        <v>51</v>
      </c>
      <c r="AA311" s="1" t="s">
        <v>31</v>
      </c>
      <c r="AB311" s="1" t="s">
        <v>31</v>
      </c>
      <c r="AC311" s="1" t="s">
        <v>74</v>
      </c>
      <c r="AD311" s="1" t="s">
        <v>31</v>
      </c>
      <c r="AE311" s="5"/>
    </row>
    <row r="312" ht="14.25" customHeight="1">
      <c r="A312" s="1" t="s">
        <v>33</v>
      </c>
      <c r="B312" s="1">
        <v>1.1000511E7</v>
      </c>
      <c r="C312" s="1" t="str">
        <f>VLOOKUP(B312,Equipment!A$1:J$575,9,0)</f>
        <v>E</v>
      </c>
      <c r="D312" s="1" t="s">
        <v>31</v>
      </c>
      <c r="E312" s="1" t="s">
        <v>4264</v>
      </c>
      <c r="F312" s="1" t="s">
        <v>1095</v>
      </c>
      <c r="G312" s="1" t="s">
        <v>4265</v>
      </c>
      <c r="H312" s="1" t="s">
        <v>1608</v>
      </c>
      <c r="I312" s="1" t="s">
        <v>31</v>
      </c>
      <c r="J312" s="1" t="s">
        <v>4266</v>
      </c>
      <c r="K312" s="1" t="s">
        <v>73</v>
      </c>
      <c r="L312" s="1">
        <v>0.0</v>
      </c>
      <c r="M312" s="1" t="s">
        <v>1608</v>
      </c>
      <c r="N312" s="1" t="s">
        <v>4266</v>
      </c>
      <c r="O312" s="1" t="s">
        <v>121</v>
      </c>
      <c r="P312" s="1">
        <v>1041.0</v>
      </c>
      <c r="Q312" s="1" t="s">
        <v>1608</v>
      </c>
      <c r="R312" s="1" t="s">
        <v>4267</v>
      </c>
      <c r="S312" s="1" t="s">
        <v>2197</v>
      </c>
      <c r="T312" s="1" t="s">
        <v>4268</v>
      </c>
      <c r="U312" s="1" t="s">
        <v>71</v>
      </c>
      <c r="V312" s="1" t="s">
        <v>31</v>
      </c>
      <c r="W312" s="1" t="s">
        <v>31</v>
      </c>
      <c r="X312" s="1" t="s">
        <v>1608</v>
      </c>
      <c r="Y312" s="1" t="s">
        <v>4268</v>
      </c>
      <c r="Z312" s="1" t="s">
        <v>51</v>
      </c>
      <c r="AA312" s="1" t="s">
        <v>31</v>
      </c>
      <c r="AB312" s="1" t="s">
        <v>31</v>
      </c>
      <c r="AC312" s="1" t="s">
        <v>656</v>
      </c>
      <c r="AD312" s="1" t="s">
        <v>31</v>
      </c>
      <c r="AE312" s="5"/>
    </row>
    <row r="313" ht="14.25" customHeight="1">
      <c r="A313" s="1" t="s">
        <v>33</v>
      </c>
      <c r="B313" s="1">
        <v>1.1001303E7</v>
      </c>
      <c r="C313" s="1" t="str">
        <f>VLOOKUP(B313,Equipment!A$1:J$575,9,0)</f>
        <v>E</v>
      </c>
      <c r="D313" s="1" t="s">
        <v>31</v>
      </c>
      <c r="E313" s="1" t="s">
        <v>4270</v>
      </c>
      <c r="F313" s="1" t="s">
        <v>649</v>
      </c>
      <c r="G313" s="1" t="s">
        <v>4272</v>
      </c>
      <c r="H313" s="1" t="s">
        <v>1608</v>
      </c>
      <c r="I313" s="1" t="s">
        <v>31</v>
      </c>
      <c r="J313" s="1" t="s">
        <v>4273</v>
      </c>
      <c r="K313" s="1" t="s">
        <v>73</v>
      </c>
      <c r="L313" s="1">
        <v>0.0</v>
      </c>
      <c r="M313" s="1" t="s">
        <v>1608</v>
      </c>
      <c r="N313" s="1" t="s">
        <v>4273</v>
      </c>
      <c r="O313" s="1" t="s">
        <v>121</v>
      </c>
      <c r="P313" s="1">
        <v>1041.0</v>
      </c>
      <c r="Q313" s="1" t="s">
        <v>1608</v>
      </c>
      <c r="R313" s="1" t="s">
        <v>4276</v>
      </c>
      <c r="S313" s="1" t="s">
        <v>2197</v>
      </c>
      <c r="T313" s="1" t="s">
        <v>4277</v>
      </c>
      <c r="U313" s="1" t="s">
        <v>71</v>
      </c>
      <c r="V313" s="1" t="s">
        <v>72</v>
      </c>
      <c r="W313" s="1" t="s">
        <v>31</v>
      </c>
      <c r="X313" s="1" t="s">
        <v>31</v>
      </c>
      <c r="Y313" s="1" t="s">
        <v>73</v>
      </c>
      <c r="Z313" s="1" t="s">
        <v>51</v>
      </c>
      <c r="AA313" s="1" t="s">
        <v>31</v>
      </c>
      <c r="AB313" s="1" t="s">
        <v>31</v>
      </c>
      <c r="AC313" s="1" t="s">
        <v>656</v>
      </c>
      <c r="AD313" s="1" t="s">
        <v>31</v>
      </c>
      <c r="AE313" s="5"/>
    </row>
    <row r="314" ht="14.25" customHeight="1">
      <c r="A314" s="1" t="s">
        <v>33</v>
      </c>
      <c r="B314" s="1">
        <v>1.1000225E7</v>
      </c>
      <c r="C314" s="1" t="str">
        <f>VLOOKUP(B314,Equipment!A$1:J$575,9,0)</f>
        <v>E</v>
      </c>
      <c r="D314" s="1" t="s">
        <v>4279</v>
      </c>
      <c r="E314" s="1" t="s">
        <v>4281</v>
      </c>
      <c r="F314" s="1" t="s">
        <v>470</v>
      </c>
      <c r="G314" s="1" t="s">
        <v>4282</v>
      </c>
      <c r="H314" s="1" t="s">
        <v>1608</v>
      </c>
      <c r="I314" s="1" t="s">
        <v>1608</v>
      </c>
      <c r="J314" s="1" t="s">
        <v>4283</v>
      </c>
      <c r="K314" s="1" t="s">
        <v>1175</v>
      </c>
      <c r="L314" s="1">
        <v>0.33</v>
      </c>
      <c r="M314" s="1" t="s">
        <v>1608</v>
      </c>
      <c r="N314" s="1" t="s">
        <v>297</v>
      </c>
      <c r="O314" s="1" t="s">
        <v>1820</v>
      </c>
      <c r="P314" s="1">
        <v>2001.0</v>
      </c>
      <c r="Q314" s="1" t="s">
        <v>2439</v>
      </c>
      <c r="R314" s="1" t="s">
        <v>4285</v>
      </c>
      <c r="S314" s="1" t="s">
        <v>31</v>
      </c>
      <c r="T314" s="1" t="s">
        <v>73</v>
      </c>
      <c r="U314" s="1" t="s">
        <v>71</v>
      </c>
      <c r="V314" s="1" t="s">
        <v>72</v>
      </c>
      <c r="W314" s="1" t="s">
        <v>31</v>
      </c>
      <c r="X314" s="1" t="s">
        <v>1608</v>
      </c>
      <c r="Y314" s="1" t="s">
        <v>4286</v>
      </c>
      <c r="Z314" s="1" t="s">
        <v>51</v>
      </c>
      <c r="AA314" s="1" t="s">
        <v>31</v>
      </c>
      <c r="AB314" s="1" t="s">
        <v>31</v>
      </c>
      <c r="AC314" s="1" t="s">
        <v>538</v>
      </c>
      <c r="AD314" s="1" t="s">
        <v>31</v>
      </c>
      <c r="AE314" s="5"/>
    </row>
    <row r="315" ht="14.25" customHeight="1">
      <c r="A315" s="1" t="s">
        <v>33</v>
      </c>
      <c r="B315" s="1">
        <v>1.1000228E7</v>
      </c>
      <c r="C315" s="1" t="str">
        <f>VLOOKUP(B315,Equipment!A$1:J$575,9,0)</f>
        <v>E</v>
      </c>
      <c r="D315" s="1" t="s">
        <v>4290</v>
      </c>
      <c r="E315" s="1" t="s">
        <v>4292</v>
      </c>
      <c r="F315" s="1" t="s">
        <v>483</v>
      </c>
      <c r="G315" s="1" t="s">
        <v>4293</v>
      </c>
      <c r="H315" s="1" t="s">
        <v>1608</v>
      </c>
      <c r="I315" s="1" t="s">
        <v>1608</v>
      </c>
      <c r="J315" s="1" t="s">
        <v>1157</v>
      </c>
      <c r="K315" s="1" t="s">
        <v>3142</v>
      </c>
      <c r="L315" s="1">
        <v>3.5</v>
      </c>
      <c r="M315" s="1" t="s">
        <v>1608</v>
      </c>
      <c r="N315" s="1" t="s">
        <v>1157</v>
      </c>
      <c r="O315" s="1" t="s">
        <v>131</v>
      </c>
      <c r="P315" s="1">
        <v>2001.0</v>
      </c>
      <c r="Q315" s="1" t="s">
        <v>2439</v>
      </c>
      <c r="R315" s="1" t="s">
        <v>4295</v>
      </c>
      <c r="S315" s="1" t="s">
        <v>31</v>
      </c>
      <c r="T315" s="1" t="s">
        <v>73</v>
      </c>
      <c r="U315" s="1" t="s">
        <v>71</v>
      </c>
      <c r="V315" s="1" t="s">
        <v>72</v>
      </c>
      <c r="W315" s="1" t="s">
        <v>31</v>
      </c>
      <c r="X315" s="1" t="s">
        <v>1608</v>
      </c>
      <c r="Y315" s="1" t="s">
        <v>4296</v>
      </c>
      <c r="Z315" s="1" t="s">
        <v>51</v>
      </c>
      <c r="AA315" s="1" t="s">
        <v>31</v>
      </c>
      <c r="AB315" s="1" t="s">
        <v>31</v>
      </c>
      <c r="AC315" s="1" t="s">
        <v>137</v>
      </c>
      <c r="AD315" s="1" t="s">
        <v>31</v>
      </c>
      <c r="AE315" s="5"/>
    </row>
    <row r="316" ht="14.25" customHeight="1">
      <c r="A316" s="1" t="s">
        <v>33</v>
      </c>
      <c r="B316" s="1">
        <v>1.1001313E7</v>
      </c>
      <c r="C316" s="1" t="str">
        <f>VLOOKUP(B316,Equipment!A$1:J$575,9,0)</f>
        <v>E</v>
      </c>
      <c r="D316" s="1" t="s">
        <v>4299</v>
      </c>
      <c r="E316" s="1" t="s">
        <v>4300</v>
      </c>
      <c r="F316" s="1" t="s">
        <v>2786</v>
      </c>
      <c r="G316" s="1" t="s">
        <v>4301</v>
      </c>
      <c r="H316" s="1" t="s">
        <v>1401</v>
      </c>
      <c r="I316" s="1" t="s">
        <v>1608</v>
      </c>
      <c r="J316" s="1" t="s">
        <v>4302</v>
      </c>
      <c r="K316" s="1" t="s">
        <v>4303</v>
      </c>
      <c r="L316" s="1">
        <v>0.8</v>
      </c>
      <c r="M316" s="1" t="s">
        <v>1401</v>
      </c>
      <c r="N316" s="1" t="s">
        <v>4304</v>
      </c>
      <c r="O316" s="1" t="s">
        <v>4305</v>
      </c>
      <c r="P316" s="1">
        <v>1031.0</v>
      </c>
      <c r="Q316" s="1" t="s">
        <v>1608</v>
      </c>
      <c r="R316" s="1" t="s">
        <v>4303</v>
      </c>
      <c r="S316" s="1" t="s">
        <v>31</v>
      </c>
      <c r="T316" s="1" t="s">
        <v>73</v>
      </c>
      <c r="U316" s="1" t="s">
        <v>71</v>
      </c>
      <c r="V316" s="1" t="s">
        <v>72</v>
      </c>
      <c r="W316" s="1" t="s">
        <v>31</v>
      </c>
      <c r="X316" s="1" t="s">
        <v>1401</v>
      </c>
      <c r="Y316" s="1" t="s">
        <v>4304</v>
      </c>
      <c r="Z316" s="1" t="s">
        <v>51</v>
      </c>
      <c r="AA316" s="1" t="s">
        <v>31</v>
      </c>
      <c r="AB316" s="1" t="s">
        <v>31</v>
      </c>
      <c r="AC316" s="1" t="s">
        <v>31</v>
      </c>
      <c r="AD316" s="1" t="s">
        <v>31</v>
      </c>
      <c r="AE316" s="5"/>
    </row>
    <row r="317" ht="14.25" customHeight="1">
      <c r="A317" s="1" t="s">
        <v>33</v>
      </c>
      <c r="B317" s="1">
        <v>1.1000379E7</v>
      </c>
      <c r="C317" s="1" t="str">
        <f>VLOOKUP(B317,Equipment!A$1:J$575,9,0)</f>
        <v>E</v>
      </c>
      <c r="D317" s="1" t="s">
        <v>31</v>
      </c>
      <c r="E317" s="1" t="s">
        <v>4308</v>
      </c>
      <c r="F317" s="1" t="s">
        <v>386</v>
      </c>
      <c r="G317" s="1" t="s">
        <v>4309</v>
      </c>
      <c r="H317" s="1" t="s">
        <v>1401</v>
      </c>
      <c r="I317" s="1" t="s">
        <v>31</v>
      </c>
      <c r="J317" s="1" t="s">
        <v>4310</v>
      </c>
      <c r="K317" s="1" t="s">
        <v>73</v>
      </c>
      <c r="L317" s="1">
        <v>0.0</v>
      </c>
      <c r="M317" s="1" t="s">
        <v>1401</v>
      </c>
      <c r="N317" s="1" t="s">
        <v>4310</v>
      </c>
      <c r="O317" s="1" t="s">
        <v>68</v>
      </c>
      <c r="P317" s="1">
        <v>1041.0</v>
      </c>
      <c r="Q317" s="1" t="s">
        <v>1401</v>
      </c>
      <c r="R317" s="1" t="s">
        <v>4311</v>
      </c>
      <c r="S317" s="1" t="s">
        <v>1608</v>
      </c>
      <c r="T317" s="1" t="s">
        <v>4313</v>
      </c>
      <c r="U317" s="1" t="s">
        <v>71</v>
      </c>
      <c r="V317" s="1" t="s">
        <v>72</v>
      </c>
      <c r="W317" s="1" t="s">
        <v>31</v>
      </c>
      <c r="X317" s="1" t="s">
        <v>1401</v>
      </c>
      <c r="Y317" s="1" t="s">
        <v>4313</v>
      </c>
      <c r="Z317" s="1" t="s">
        <v>51</v>
      </c>
      <c r="AA317" s="1" t="s">
        <v>31</v>
      </c>
      <c r="AB317" s="1" t="s">
        <v>31</v>
      </c>
      <c r="AC317" s="1" t="s">
        <v>74</v>
      </c>
      <c r="AD317" s="1" t="s">
        <v>31</v>
      </c>
      <c r="AE317" s="5"/>
    </row>
    <row r="318" ht="14.25" customHeight="1">
      <c r="A318" s="1" t="s">
        <v>33</v>
      </c>
      <c r="B318" s="1">
        <v>1.1000379E7</v>
      </c>
      <c r="C318" s="1" t="str">
        <f>VLOOKUP(B318,Equipment!A$1:J$575,9,0)</f>
        <v>E</v>
      </c>
      <c r="D318" s="1" t="s">
        <v>31</v>
      </c>
      <c r="E318" s="1" t="s">
        <v>4317</v>
      </c>
      <c r="F318" s="1" t="s">
        <v>386</v>
      </c>
      <c r="G318" s="1" t="s">
        <v>4319</v>
      </c>
      <c r="H318" s="1" t="s">
        <v>1401</v>
      </c>
      <c r="I318" s="1" t="s">
        <v>31</v>
      </c>
      <c r="J318" s="1" t="s">
        <v>4320</v>
      </c>
      <c r="K318" s="1" t="s">
        <v>73</v>
      </c>
      <c r="L318" s="1">
        <v>0.0</v>
      </c>
      <c r="M318" s="1" t="s">
        <v>1401</v>
      </c>
      <c r="N318" s="1" t="s">
        <v>4322</v>
      </c>
      <c r="O318" s="1" t="s">
        <v>68</v>
      </c>
      <c r="P318" s="1">
        <v>1041.0</v>
      </c>
      <c r="Q318" s="1" t="s">
        <v>1401</v>
      </c>
      <c r="R318" s="1" t="s">
        <v>4323</v>
      </c>
      <c r="S318" s="1" t="s">
        <v>31</v>
      </c>
      <c r="T318" s="1" t="s">
        <v>73</v>
      </c>
      <c r="U318" s="1" t="s">
        <v>71</v>
      </c>
      <c r="V318" s="1" t="s">
        <v>72</v>
      </c>
      <c r="W318" s="1" t="s">
        <v>31</v>
      </c>
      <c r="X318" s="1" t="s">
        <v>1401</v>
      </c>
      <c r="Y318" s="1" t="s">
        <v>4322</v>
      </c>
      <c r="Z318" s="1" t="s">
        <v>51</v>
      </c>
      <c r="AA318" s="1" t="s">
        <v>31</v>
      </c>
      <c r="AB318" s="1" t="s">
        <v>31</v>
      </c>
      <c r="AC318" s="1" t="s">
        <v>74</v>
      </c>
      <c r="AD318" s="1" t="s">
        <v>31</v>
      </c>
      <c r="AE318" s="5"/>
    </row>
    <row r="319" ht="14.25" customHeight="1">
      <c r="A319" s="1" t="s">
        <v>33</v>
      </c>
      <c r="B319" s="1">
        <v>1.1000386E7</v>
      </c>
      <c r="C319" s="1" t="str">
        <f>VLOOKUP(B319,Equipment!A$1:J$575,9,0)</f>
        <v>E</v>
      </c>
      <c r="D319" s="1" t="s">
        <v>4326</v>
      </c>
      <c r="E319" s="1" t="s">
        <v>4327</v>
      </c>
      <c r="F319" s="1" t="s">
        <v>415</v>
      </c>
      <c r="G319" s="1" t="s">
        <v>1369</v>
      </c>
      <c r="H319" s="1" t="s">
        <v>1401</v>
      </c>
      <c r="I319" s="1" t="s">
        <v>1401</v>
      </c>
      <c r="J319" s="1" t="s">
        <v>401</v>
      </c>
      <c r="K319" s="1" t="s">
        <v>4329</v>
      </c>
      <c r="L319" s="1">
        <v>2.0</v>
      </c>
      <c r="M319" s="1" t="s">
        <v>1401</v>
      </c>
      <c r="N319" s="1" t="s">
        <v>2834</v>
      </c>
      <c r="O319" s="1" t="s">
        <v>68</v>
      </c>
      <c r="P319" s="1">
        <v>1041.0</v>
      </c>
      <c r="Q319" s="1" t="s">
        <v>1401</v>
      </c>
      <c r="R319" s="1" t="s">
        <v>4329</v>
      </c>
      <c r="S319" s="1" t="s">
        <v>31</v>
      </c>
      <c r="T319" s="1" t="s">
        <v>73</v>
      </c>
      <c r="U319" s="1" t="s">
        <v>71</v>
      </c>
      <c r="V319" s="1" t="s">
        <v>72</v>
      </c>
      <c r="W319" s="1" t="s">
        <v>31</v>
      </c>
      <c r="X319" s="1" t="s">
        <v>1401</v>
      </c>
      <c r="Y319" s="1" t="s">
        <v>4331</v>
      </c>
      <c r="Z319" s="1" t="s">
        <v>51</v>
      </c>
      <c r="AA319" s="1" t="s">
        <v>31</v>
      </c>
      <c r="AB319" s="1" t="s">
        <v>31</v>
      </c>
      <c r="AC319" s="1" t="s">
        <v>74</v>
      </c>
      <c r="AD319" s="1" t="s">
        <v>31</v>
      </c>
      <c r="AE319" s="5"/>
    </row>
    <row r="320" ht="14.25" customHeight="1">
      <c r="A320" s="1" t="s">
        <v>33</v>
      </c>
      <c r="B320" s="1">
        <v>1.1000389E7</v>
      </c>
      <c r="C320" s="1" t="str">
        <f>VLOOKUP(B320,Equipment!A$1:J$575,9,0)</f>
        <v>E</v>
      </c>
      <c r="D320" s="1" t="s">
        <v>4334</v>
      </c>
      <c r="E320" s="1" t="s">
        <v>4335</v>
      </c>
      <c r="F320" s="1" t="s">
        <v>60</v>
      </c>
      <c r="G320" s="1" t="s">
        <v>4336</v>
      </c>
      <c r="H320" s="1" t="s">
        <v>1401</v>
      </c>
      <c r="I320" s="1" t="s">
        <v>2366</v>
      </c>
      <c r="J320" s="1" t="s">
        <v>456</v>
      </c>
      <c r="K320" s="1" t="s">
        <v>4337</v>
      </c>
      <c r="L320" s="1">
        <v>0.67</v>
      </c>
      <c r="M320" s="1" t="s">
        <v>1401</v>
      </c>
      <c r="N320" s="1" t="s">
        <v>4339</v>
      </c>
      <c r="O320" s="1" t="s">
        <v>68</v>
      </c>
      <c r="P320" s="1">
        <v>1041.0</v>
      </c>
      <c r="Q320" s="1" t="s">
        <v>2366</v>
      </c>
      <c r="R320" s="1" t="s">
        <v>4337</v>
      </c>
      <c r="S320" s="1" t="s">
        <v>1212</v>
      </c>
      <c r="T320" s="1" t="s">
        <v>4340</v>
      </c>
      <c r="U320" s="1" t="s">
        <v>71</v>
      </c>
      <c r="V320" s="1" t="s">
        <v>72</v>
      </c>
      <c r="W320" s="1" t="s">
        <v>31</v>
      </c>
      <c r="X320" s="1" t="s">
        <v>31</v>
      </c>
      <c r="Y320" s="1" t="s">
        <v>73</v>
      </c>
      <c r="Z320" s="1" t="s">
        <v>51</v>
      </c>
      <c r="AA320" s="1" t="s">
        <v>31</v>
      </c>
      <c r="AB320" s="1" t="s">
        <v>31</v>
      </c>
      <c r="AC320" s="1" t="s">
        <v>74</v>
      </c>
      <c r="AD320" s="1" t="s">
        <v>31</v>
      </c>
      <c r="AE320" s="5"/>
    </row>
    <row r="321" ht="14.25" customHeight="1">
      <c r="A321" s="1" t="s">
        <v>33</v>
      </c>
      <c r="B321" s="1">
        <v>1.1000389E7</v>
      </c>
      <c r="C321" s="1" t="str">
        <f>VLOOKUP(B321,Equipment!A$1:J$575,9,0)</f>
        <v>E</v>
      </c>
      <c r="D321" s="1" t="s">
        <v>4343</v>
      </c>
      <c r="E321" s="1" t="s">
        <v>4344</v>
      </c>
      <c r="F321" s="1" t="s">
        <v>60</v>
      </c>
      <c r="G321" s="1" t="s">
        <v>4345</v>
      </c>
      <c r="H321" s="1" t="s">
        <v>1401</v>
      </c>
      <c r="I321" s="1" t="s">
        <v>1401</v>
      </c>
      <c r="J321" s="1" t="s">
        <v>4346</v>
      </c>
      <c r="K321" s="1" t="s">
        <v>4347</v>
      </c>
      <c r="L321" s="1">
        <v>2.92</v>
      </c>
      <c r="M321" s="1" t="s">
        <v>1608</v>
      </c>
      <c r="N321" s="1" t="s">
        <v>4349</v>
      </c>
      <c r="O321" s="1" t="s">
        <v>68</v>
      </c>
      <c r="P321" s="1">
        <v>1041.0</v>
      </c>
      <c r="Q321" s="1" t="s">
        <v>1401</v>
      </c>
      <c r="R321" s="1" t="s">
        <v>4347</v>
      </c>
      <c r="S321" s="1" t="s">
        <v>2576</v>
      </c>
      <c r="T321" s="1" t="s">
        <v>4350</v>
      </c>
      <c r="U321" s="1" t="s">
        <v>71</v>
      </c>
      <c r="V321" s="1" t="s">
        <v>72</v>
      </c>
      <c r="W321" s="1" t="s">
        <v>31</v>
      </c>
      <c r="X321" s="1" t="s">
        <v>1401</v>
      </c>
      <c r="Y321" s="1" t="s">
        <v>4350</v>
      </c>
      <c r="Z321" s="1" t="s">
        <v>51</v>
      </c>
      <c r="AA321" s="1" t="s">
        <v>31</v>
      </c>
      <c r="AB321" s="1" t="s">
        <v>31</v>
      </c>
      <c r="AC321" s="1" t="s">
        <v>74</v>
      </c>
      <c r="AD321" s="1" t="s">
        <v>31</v>
      </c>
      <c r="AE321" s="5"/>
    </row>
    <row r="322" ht="14.25" customHeight="1">
      <c r="A322" s="1" t="s">
        <v>33</v>
      </c>
      <c r="B322" s="1">
        <v>1.1000389E7</v>
      </c>
      <c r="C322" s="1" t="str">
        <f>VLOOKUP(B322,Equipment!A$1:J$575,9,0)</f>
        <v>E</v>
      </c>
      <c r="D322" s="1" t="s">
        <v>4353</v>
      </c>
      <c r="E322" s="1" t="s">
        <v>4354</v>
      </c>
      <c r="F322" s="1" t="s">
        <v>60</v>
      </c>
      <c r="G322" s="1" t="s">
        <v>4355</v>
      </c>
      <c r="H322" s="1" t="s">
        <v>1401</v>
      </c>
      <c r="I322" s="1" t="s">
        <v>1401</v>
      </c>
      <c r="J322" s="1" t="s">
        <v>341</v>
      </c>
      <c r="K322" s="1" t="s">
        <v>4356</v>
      </c>
      <c r="L322" s="1">
        <v>4.5</v>
      </c>
      <c r="M322" s="1" t="s">
        <v>1401</v>
      </c>
      <c r="N322" s="1" t="s">
        <v>4357</v>
      </c>
      <c r="O322" s="1" t="s">
        <v>68</v>
      </c>
      <c r="P322" s="1">
        <v>1041.0</v>
      </c>
      <c r="Q322" s="1" t="s">
        <v>1401</v>
      </c>
      <c r="R322" s="1" t="s">
        <v>4356</v>
      </c>
      <c r="S322" s="1" t="s">
        <v>1212</v>
      </c>
      <c r="T322" s="1" t="s">
        <v>4358</v>
      </c>
      <c r="U322" s="1" t="s">
        <v>71</v>
      </c>
      <c r="V322" s="1" t="s">
        <v>72</v>
      </c>
      <c r="W322" s="1" t="s">
        <v>31</v>
      </c>
      <c r="X322" s="1" t="s">
        <v>31</v>
      </c>
      <c r="Y322" s="1" t="s">
        <v>73</v>
      </c>
      <c r="Z322" s="1" t="s">
        <v>51</v>
      </c>
      <c r="AA322" s="1" t="s">
        <v>31</v>
      </c>
      <c r="AB322" s="1" t="s">
        <v>31</v>
      </c>
      <c r="AC322" s="1" t="s">
        <v>74</v>
      </c>
      <c r="AD322" s="1" t="s">
        <v>31</v>
      </c>
      <c r="AE322" s="5"/>
    </row>
    <row r="323" ht="14.25" customHeight="1">
      <c r="A323" s="1" t="s">
        <v>33</v>
      </c>
      <c r="B323" s="1">
        <v>1.100039E7</v>
      </c>
      <c r="C323" s="1" t="str">
        <f>VLOOKUP(B323,Equipment!A$1:J$575,9,0)</f>
        <v>E</v>
      </c>
      <c r="D323" s="1" t="s">
        <v>4360</v>
      </c>
      <c r="E323" s="1" t="s">
        <v>4361</v>
      </c>
      <c r="F323" s="1" t="s">
        <v>608</v>
      </c>
      <c r="G323" s="1" t="s">
        <v>4362</v>
      </c>
      <c r="H323" s="1" t="s">
        <v>1401</v>
      </c>
      <c r="I323" s="1" t="s">
        <v>1401</v>
      </c>
      <c r="J323" s="1" t="s">
        <v>4364</v>
      </c>
      <c r="K323" s="1" t="s">
        <v>4365</v>
      </c>
      <c r="L323" s="1">
        <v>0.83</v>
      </c>
      <c r="M323" s="1" t="s">
        <v>1401</v>
      </c>
      <c r="N323" s="1" t="s">
        <v>4366</v>
      </c>
      <c r="O323" s="1" t="s">
        <v>68</v>
      </c>
      <c r="P323" s="1">
        <v>1041.0</v>
      </c>
      <c r="Q323" s="1" t="s">
        <v>1401</v>
      </c>
      <c r="R323" s="1" t="s">
        <v>4365</v>
      </c>
      <c r="S323" s="1" t="s">
        <v>1608</v>
      </c>
      <c r="T323" s="1" t="s">
        <v>4367</v>
      </c>
      <c r="U323" s="1" t="s">
        <v>71</v>
      </c>
      <c r="V323" s="1" t="s">
        <v>72</v>
      </c>
      <c r="W323" s="1" t="s">
        <v>31</v>
      </c>
      <c r="X323" s="1" t="s">
        <v>31</v>
      </c>
      <c r="Y323" s="1" t="s">
        <v>73</v>
      </c>
      <c r="Z323" s="1" t="s">
        <v>51</v>
      </c>
      <c r="AA323" s="1" t="s">
        <v>31</v>
      </c>
      <c r="AB323" s="1" t="s">
        <v>31</v>
      </c>
      <c r="AC323" s="1" t="s">
        <v>74</v>
      </c>
      <c r="AD323" s="1" t="s">
        <v>31</v>
      </c>
      <c r="AE323" s="5"/>
    </row>
    <row r="324" ht="14.25" customHeight="1">
      <c r="A324" s="1" t="s">
        <v>33</v>
      </c>
      <c r="B324" s="1">
        <v>1.1000449E7</v>
      </c>
      <c r="C324" s="1" t="str">
        <f>VLOOKUP(B324,Equipment!A$1:J$575,9,0)</f>
        <v>E</v>
      </c>
      <c r="D324" s="1" t="s">
        <v>4370</v>
      </c>
      <c r="E324" s="1" t="s">
        <v>4371</v>
      </c>
      <c r="F324" s="1" t="s">
        <v>160</v>
      </c>
      <c r="G324" s="1" t="s">
        <v>4372</v>
      </c>
      <c r="H324" s="1" t="s">
        <v>1401</v>
      </c>
      <c r="I324" s="1" t="s">
        <v>31</v>
      </c>
      <c r="J324" s="1" t="s">
        <v>4373</v>
      </c>
      <c r="K324" s="1" t="s">
        <v>73</v>
      </c>
      <c r="L324" s="1">
        <v>0.0</v>
      </c>
      <c r="M324" s="1" t="s">
        <v>1401</v>
      </c>
      <c r="N324" s="1" t="s">
        <v>4373</v>
      </c>
      <c r="O324" s="1" t="s">
        <v>68</v>
      </c>
      <c r="P324" s="1">
        <v>1041.0</v>
      </c>
      <c r="Q324" s="1" t="s">
        <v>1401</v>
      </c>
      <c r="R324" s="1" t="s">
        <v>4375</v>
      </c>
      <c r="S324" s="1" t="s">
        <v>1608</v>
      </c>
      <c r="T324" s="1" t="s">
        <v>4376</v>
      </c>
      <c r="U324" s="1" t="s">
        <v>71</v>
      </c>
      <c r="V324" s="1" t="s">
        <v>72</v>
      </c>
      <c r="W324" s="1" t="s">
        <v>31</v>
      </c>
      <c r="X324" s="1" t="s">
        <v>31</v>
      </c>
      <c r="Y324" s="1" t="s">
        <v>73</v>
      </c>
      <c r="Z324" s="1" t="s">
        <v>51</v>
      </c>
      <c r="AA324" s="1" t="s">
        <v>31</v>
      </c>
      <c r="AB324" s="1" t="s">
        <v>31</v>
      </c>
      <c r="AC324" s="1" t="s">
        <v>74</v>
      </c>
      <c r="AD324" s="1" t="s">
        <v>31</v>
      </c>
      <c r="AE324" s="5"/>
    </row>
    <row r="325" ht="14.25" customHeight="1">
      <c r="A325" s="1" t="s">
        <v>33</v>
      </c>
      <c r="B325" s="1">
        <v>1.1000452E7</v>
      </c>
      <c r="C325" s="1" t="str">
        <f>VLOOKUP(B325,Equipment!A$1:J$575,9,0)</f>
        <v>E</v>
      </c>
      <c r="D325" s="1" t="s">
        <v>4378</v>
      </c>
      <c r="E325" s="1" t="s">
        <v>4379</v>
      </c>
      <c r="F325" s="1" t="s">
        <v>180</v>
      </c>
      <c r="G325" s="1" t="s">
        <v>4380</v>
      </c>
      <c r="H325" s="1" t="s">
        <v>1401</v>
      </c>
      <c r="I325" s="1" t="s">
        <v>1401</v>
      </c>
      <c r="J325" s="1" t="s">
        <v>130</v>
      </c>
      <c r="K325" s="1" t="s">
        <v>4381</v>
      </c>
      <c r="L325" s="1">
        <v>0.5</v>
      </c>
      <c r="M325" s="1" t="s">
        <v>1401</v>
      </c>
      <c r="N325" s="1" t="s">
        <v>4383</v>
      </c>
      <c r="O325" s="1" t="s">
        <v>68</v>
      </c>
      <c r="P325" s="1">
        <v>1041.0</v>
      </c>
      <c r="Q325" s="1" t="s">
        <v>1401</v>
      </c>
      <c r="R325" s="1" t="s">
        <v>4381</v>
      </c>
      <c r="S325" s="1" t="s">
        <v>1608</v>
      </c>
      <c r="T325" s="1" t="s">
        <v>4385</v>
      </c>
      <c r="U325" s="1" t="s">
        <v>71</v>
      </c>
      <c r="V325" s="1" t="s">
        <v>72</v>
      </c>
      <c r="W325" s="1" t="s">
        <v>31</v>
      </c>
      <c r="X325" s="1" t="s">
        <v>31</v>
      </c>
      <c r="Y325" s="1" t="s">
        <v>73</v>
      </c>
      <c r="Z325" s="1" t="s">
        <v>51</v>
      </c>
      <c r="AA325" s="1" t="s">
        <v>31</v>
      </c>
      <c r="AB325" s="1" t="s">
        <v>31</v>
      </c>
      <c r="AC325" s="1" t="s">
        <v>74</v>
      </c>
      <c r="AD325" s="1" t="s">
        <v>31</v>
      </c>
      <c r="AE325" s="5"/>
    </row>
    <row r="326" ht="14.25" customHeight="1">
      <c r="A326" s="1" t="s">
        <v>33</v>
      </c>
      <c r="B326" s="1">
        <v>1.1000453E7</v>
      </c>
      <c r="C326" s="1" t="str">
        <f>VLOOKUP(B326,Equipment!A$1:J$575,9,0)</f>
        <v>E</v>
      </c>
      <c r="D326" s="1" t="s">
        <v>31</v>
      </c>
      <c r="E326" s="1" t="s">
        <v>4388</v>
      </c>
      <c r="F326" s="1" t="s">
        <v>283</v>
      </c>
      <c r="G326" s="1" t="s">
        <v>4389</v>
      </c>
      <c r="H326" s="1" t="s">
        <v>1401</v>
      </c>
      <c r="I326" s="1" t="s">
        <v>31</v>
      </c>
      <c r="J326" s="1" t="s">
        <v>4390</v>
      </c>
      <c r="K326" s="1" t="s">
        <v>73</v>
      </c>
      <c r="L326" s="1">
        <v>0.0</v>
      </c>
      <c r="M326" s="1" t="s">
        <v>1401</v>
      </c>
      <c r="N326" s="1" t="s">
        <v>4390</v>
      </c>
      <c r="O326" s="1" t="s">
        <v>68</v>
      </c>
      <c r="P326" s="1">
        <v>1041.0</v>
      </c>
      <c r="Q326" s="1" t="s">
        <v>1401</v>
      </c>
      <c r="R326" s="1" t="s">
        <v>4392</v>
      </c>
      <c r="S326" s="1" t="s">
        <v>1608</v>
      </c>
      <c r="T326" s="1" t="s">
        <v>4393</v>
      </c>
      <c r="U326" s="1" t="s">
        <v>71</v>
      </c>
      <c r="V326" s="1" t="s">
        <v>72</v>
      </c>
      <c r="W326" s="1" t="s">
        <v>31</v>
      </c>
      <c r="X326" s="1" t="s">
        <v>31</v>
      </c>
      <c r="Y326" s="1" t="s">
        <v>73</v>
      </c>
      <c r="Z326" s="1" t="s">
        <v>51</v>
      </c>
      <c r="AA326" s="1" t="s">
        <v>31</v>
      </c>
      <c r="AB326" s="1" t="s">
        <v>31</v>
      </c>
      <c r="AC326" s="1" t="s">
        <v>74</v>
      </c>
      <c r="AD326" s="1" t="s">
        <v>31</v>
      </c>
      <c r="AE326" s="5"/>
    </row>
    <row r="327" ht="14.25" customHeight="1">
      <c r="A327" s="1" t="s">
        <v>33</v>
      </c>
      <c r="B327" s="1">
        <v>1.1000453E7</v>
      </c>
      <c r="C327" s="1" t="str">
        <f>VLOOKUP(B327,Equipment!A$1:J$575,9,0)</f>
        <v>E</v>
      </c>
      <c r="D327" s="1" t="s">
        <v>31</v>
      </c>
      <c r="E327" s="1" t="s">
        <v>4394</v>
      </c>
      <c r="F327" s="1" t="s">
        <v>283</v>
      </c>
      <c r="G327" s="1" t="s">
        <v>4395</v>
      </c>
      <c r="H327" s="1" t="s">
        <v>1401</v>
      </c>
      <c r="I327" s="1" t="s">
        <v>31</v>
      </c>
      <c r="J327" s="1" t="s">
        <v>4396</v>
      </c>
      <c r="K327" s="1" t="s">
        <v>73</v>
      </c>
      <c r="L327" s="1">
        <v>0.0</v>
      </c>
      <c r="M327" s="1" t="s">
        <v>1401</v>
      </c>
      <c r="N327" s="1" t="s">
        <v>4396</v>
      </c>
      <c r="O327" s="1" t="s">
        <v>68</v>
      </c>
      <c r="P327" s="1">
        <v>1041.0</v>
      </c>
      <c r="Q327" s="1" t="s">
        <v>1401</v>
      </c>
      <c r="R327" s="1" t="s">
        <v>4398</v>
      </c>
      <c r="S327" s="1" t="s">
        <v>1608</v>
      </c>
      <c r="T327" s="1" t="s">
        <v>4399</v>
      </c>
      <c r="U327" s="1" t="s">
        <v>71</v>
      </c>
      <c r="V327" s="1" t="s">
        <v>72</v>
      </c>
      <c r="W327" s="1" t="s">
        <v>31</v>
      </c>
      <c r="X327" s="1" t="s">
        <v>31</v>
      </c>
      <c r="Y327" s="1" t="s">
        <v>73</v>
      </c>
      <c r="Z327" s="1" t="s">
        <v>51</v>
      </c>
      <c r="AA327" s="1" t="s">
        <v>31</v>
      </c>
      <c r="AB327" s="1" t="s">
        <v>31</v>
      </c>
      <c r="AC327" s="1" t="s">
        <v>74</v>
      </c>
      <c r="AD327" s="1" t="s">
        <v>31</v>
      </c>
      <c r="AE327" s="5"/>
    </row>
    <row r="328" ht="14.25" customHeight="1">
      <c r="A328" s="1" t="s">
        <v>33</v>
      </c>
      <c r="B328" s="1">
        <v>1.1000453E7</v>
      </c>
      <c r="C328" s="1" t="str">
        <f>VLOOKUP(B328,Equipment!A$1:J$575,9,0)</f>
        <v>E</v>
      </c>
      <c r="D328" s="1" t="s">
        <v>31</v>
      </c>
      <c r="E328" s="1" t="s">
        <v>4400</v>
      </c>
      <c r="F328" s="1" t="s">
        <v>283</v>
      </c>
      <c r="G328" s="1" t="s">
        <v>4401</v>
      </c>
      <c r="H328" s="1" t="s">
        <v>1401</v>
      </c>
      <c r="I328" s="1" t="s">
        <v>31</v>
      </c>
      <c r="J328" s="1" t="s">
        <v>4402</v>
      </c>
      <c r="K328" s="1" t="s">
        <v>73</v>
      </c>
      <c r="L328" s="1">
        <v>0.0</v>
      </c>
      <c r="M328" s="1" t="s">
        <v>1401</v>
      </c>
      <c r="N328" s="1" t="s">
        <v>4402</v>
      </c>
      <c r="O328" s="1" t="s">
        <v>68</v>
      </c>
      <c r="P328" s="1">
        <v>1041.0</v>
      </c>
      <c r="Q328" s="1" t="s">
        <v>1401</v>
      </c>
      <c r="R328" s="1" t="s">
        <v>4404</v>
      </c>
      <c r="S328" s="1" t="s">
        <v>1608</v>
      </c>
      <c r="T328" s="1" t="s">
        <v>4405</v>
      </c>
      <c r="U328" s="1" t="s">
        <v>71</v>
      </c>
      <c r="V328" s="1" t="s">
        <v>72</v>
      </c>
      <c r="W328" s="1" t="s">
        <v>31</v>
      </c>
      <c r="X328" s="1" t="s">
        <v>31</v>
      </c>
      <c r="Y328" s="1" t="s">
        <v>73</v>
      </c>
      <c r="Z328" s="1" t="s">
        <v>51</v>
      </c>
      <c r="AA328" s="1" t="s">
        <v>31</v>
      </c>
      <c r="AB328" s="1" t="s">
        <v>31</v>
      </c>
      <c r="AC328" s="1" t="s">
        <v>74</v>
      </c>
      <c r="AD328" s="1" t="s">
        <v>31</v>
      </c>
      <c r="AE328" s="5"/>
    </row>
    <row r="329" ht="14.25" customHeight="1">
      <c r="A329" s="1" t="s">
        <v>33</v>
      </c>
      <c r="B329" s="1">
        <v>1.1000493E7</v>
      </c>
      <c r="C329" s="1" t="str">
        <f>VLOOKUP(B329,Equipment!A$1:J$575,9,0)</f>
        <v>E</v>
      </c>
      <c r="D329" s="1" t="s">
        <v>4407</v>
      </c>
      <c r="E329" s="1" t="s">
        <v>4408</v>
      </c>
      <c r="F329" s="1" t="s">
        <v>206</v>
      </c>
      <c r="G329" s="1" t="s">
        <v>4409</v>
      </c>
      <c r="H329" s="1" t="s">
        <v>1401</v>
      </c>
      <c r="I329" s="1" t="s">
        <v>4410</v>
      </c>
      <c r="J329" s="1" t="s">
        <v>4411</v>
      </c>
      <c r="K329" s="1" t="s">
        <v>4412</v>
      </c>
      <c r="L329" s="1">
        <v>1.0</v>
      </c>
      <c r="M329" s="1" t="s">
        <v>1401</v>
      </c>
      <c r="N329" s="1" t="s">
        <v>4413</v>
      </c>
      <c r="O329" s="1" t="s">
        <v>68</v>
      </c>
      <c r="P329" s="1">
        <v>1041.0</v>
      </c>
      <c r="Q329" s="1" t="s">
        <v>1401</v>
      </c>
      <c r="R329" s="1" t="s">
        <v>4415</v>
      </c>
      <c r="S329" s="1" t="s">
        <v>1608</v>
      </c>
      <c r="T329" s="1" t="s">
        <v>4416</v>
      </c>
      <c r="U329" s="1" t="s">
        <v>71</v>
      </c>
      <c r="V329" s="1" t="s">
        <v>72</v>
      </c>
      <c r="W329" s="1" t="s">
        <v>31</v>
      </c>
      <c r="X329" s="1" t="s">
        <v>31</v>
      </c>
      <c r="Y329" s="1" t="s">
        <v>73</v>
      </c>
      <c r="Z329" s="1" t="s">
        <v>51</v>
      </c>
      <c r="AA329" s="1" t="s">
        <v>31</v>
      </c>
      <c r="AB329" s="1" t="s">
        <v>31</v>
      </c>
      <c r="AC329" s="1" t="s">
        <v>74</v>
      </c>
      <c r="AD329" s="1" t="s">
        <v>31</v>
      </c>
      <c r="AE329" s="5"/>
    </row>
    <row r="330" ht="14.25" customHeight="1">
      <c r="A330" s="1" t="s">
        <v>33</v>
      </c>
      <c r="B330" s="1">
        <v>1.1000212E7</v>
      </c>
      <c r="C330" s="1" t="str">
        <f>VLOOKUP(B330,Equipment!A$1:J$575,9,0)</f>
        <v>E</v>
      </c>
      <c r="D330" s="1" t="s">
        <v>4419</v>
      </c>
      <c r="E330" s="1" t="s">
        <v>4420</v>
      </c>
      <c r="F330" s="1" t="s">
        <v>419</v>
      </c>
      <c r="G330" s="1" t="s">
        <v>4421</v>
      </c>
      <c r="H330" s="1" t="s">
        <v>1401</v>
      </c>
      <c r="I330" s="1" t="s">
        <v>1401</v>
      </c>
      <c r="J330" s="1" t="s">
        <v>119</v>
      </c>
      <c r="K330" s="1" t="s">
        <v>339</v>
      </c>
      <c r="L330" s="1">
        <v>1.5</v>
      </c>
      <c r="M330" s="1" t="s">
        <v>1401</v>
      </c>
      <c r="N330" s="1" t="s">
        <v>119</v>
      </c>
      <c r="O330" s="1" t="s">
        <v>131</v>
      </c>
      <c r="P330" s="1">
        <v>2001.0</v>
      </c>
      <c r="Q330" s="1" t="s">
        <v>1608</v>
      </c>
      <c r="R330" s="1" t="s">
        <v>4422</v>
      </c>
      <c r="S330" s="1" t="s">
        <v>31</v>
      </c>
      <c r="T330" s="1" t="s">
        <v>73</v>
      </c>
      <c r="U330" s="1" t="s">
        <v>71</v>
      </c>
      <c r="V330" s="1" t="s">
        <v>72</v>
      </c>
      <c r="W330" s="1" t="s">
        <v>31</v>
      </c>
      <c r="X330" s="1" t="s">
        <v>1401</v>
      </c>
      <c r="Y330" s="1" t="s">
        <v>4423</v>
      </c>
      <c r="Z330" s="1" t="s">
        <v>51</v>
      </c>
      <c r="AA330" s="1" t="s">
        <v>31</v>
      </c>
      <c r="AB330" s="1" t="s">
        <v>31</v>
      </c>
      <c r="AC330" s="1" t="s">
        <v>137</v>
      </c>
      <c r="AD330" s="1" t="s">
        <v>31</v>
      </c>
      <c r="AE330" s="5"/>
    </row>
    <row r="331" ht="14.25" customHeight="1">
      <c r="A331" s="1" t="s">
        <v>33</v>
      </c>
      <c r="B331" s="1">
        <v>1.1000578E7</v>
      </c>
      <c r="C331" s="1" t="str">
        <f>VLOOKUP(B331,Equipment!A$1:J$575,9,0)</f>
        <v>E</v>
      </c>
      <c r="D331" s="1" t="s">
        <v>4425</v>
      </c>
      <c r="E331" s="1" t="s">
        <v>4426</v>
      </c>
      <c r="F331" s="1" t="s">
        <v>237</v>
      </c>
      <c r="G331" s="1" t="s">
        <v>4427</v>
      </c>
      <c r="H331" s="1" t="s">
        <v>1260</v>
      </c>
      <c r="I331" s="1" t="s">
        <v>1608</v>
      </c>
      <c r="J331" s="1" t="s">
        <v>4428</v>
      </c>
      <c r="K331" s="1" t="s">
        <v>4429</v>
      </c>
      <c r="L331" s="1">
        <v>3.5</v>
      </c>
      <c r="M331" s="1" t="s">
        <v>1260</v>
      </c>
      <c r="N331" s="1" t="s">
        <v>4431</v>
      </c>
      <c r="O331" s="1" t="s">
        <v>223</v>
      </c>
      <c r="P331" s="1">
        <v>1031.0</v>
      </c>
      <c r="Q331" s="1" t="s">
        <v>1608</v>
      </c>
      <c r="R331" s="1" t="s">
        <v>4429</v>
      </c>
      <c r="S331" s="1" t="s">
        <v>31</v>
      </c>
      <c r="T331" s="1" t="s">
        <v>73</v>
      </c>
      <c r="U331" s="1" t="s">
        <v>71</v>
      </c>
      <c r="V331" s="1" t="s">
        <v>72</v>
      </c>
      <c r="W331" s="1" t="s">
        <v>31</v>
      </c>
      <c r="X331" s="1" t="s">
        <v>1260</v>
      </c>
      <c r="Y331" s="1" t="s">
        <v>4431</v>
      </c>
      <c r="Z331" s="1" t="s">
        <v>51</v>
      </c>
      <c r="AA331" s="1" t="s">
        <v>31</v>
      </c>
      <c r="AB331" s="1" t="s">
        <v>31</v>
      </c>
      <c r="AC331" s="1" t="s">
        <v>227</v>
      </c>
      <c r="AD331" s="1" t="s">
        <v>31</v>
      </c>
      <c r="AE331" s="5"/>
    </row>
    <row r="332" ht="14.25" customHeight="1">
      <c r="A332" s="1" t="s">
        <v>33</v>
      </c>
      <c r="B332" s="1">
        <v>1.100038E7</v>
      </c>
      <c r="C332" s="1" t="str">
        <f>VLOOKUP(B332,Equipment!A$1:J$575,9,0)</f>
        <v>E</v>
      </c>
      <c r="D332" s="1" t="s">
        <v>4434</v>
      </c>
      <c r="E332" s="1" t="s">
        <v>4435</v>
      </c>
      <c r="F332" s="1" t="s">
        <v>545</v>
      </c>
      <c r="G332" s="1" t="s">
        <v>4436</v>
      </c>
      <c r="H332" s="1" t="s">
        <v>1260</v>
      </c>
      <c r="I332" s="1" t="s">
        <v>1401</v>
      </c>
      <c r="J332" s="1" t="s">
        <v>120</v>
      </c>
      <c r="K332" s="1" t="s">
        <v>4438</v>
      </c>
      <c r="L332" s="1">
        <v>2.25</v>
      </c>
      <c r="M332" s="1" t="s">
        <v>1260</v>
      </c>
      <c r="N332" s="1" t="s">
        <v>4439</v>
      </c>
      <c r="O332" s="1" t="s">
        <v>68</v>
      </c>
      <c r="P332" s="1">
        <v>1041.0</v>
      </c>
      <c r="Q332" s="1" t="s">
        <v>1401</v>
      </c>
      <c r="R332" s="1" t="s">
        <v>4438</v>
      </c>
      <c r="S332" s="1" t="s">
        <v>31</v>
      </c>
      <c r="T332" s="1" t="s">
        <v>73</v>
      </c>
      <c r="U332" s="1" t="s">
        <v>71</v>
      </c>
      <c r="V332" s="1" t="s">
        <v>72</v>
      </c>
      <c r="W332" s="1" t="s">
        <v>31</v>
      </c>
      <c r="X332" s="1" t="s">
        <v>1328</v>
      </c>
      <c r="Y332" s="1" t="s">
        <v>4440</v>
      </c>
      <c r="Z332" s="1" t="s">
        <v>51</v>
      </c>
      <c r="AA332" s="1" t="s">
        <v>31</v>
      </c>
      <c r="AB332" s="1" t="s">
        <v>31</v>
      </c>
      <c r="AC332" s="1" t="s">
        <v>74</v>
      </c>
      <c r="AD332" s="1" t="s">
        <v>31</v>
      </c>
      <c r="AE332" s="5"/>
    </row>
    <row r="333" ht="14.25" customHeight="1">
      <c r="A333" s="1" t="s">
        <v>33</v>
      </c>
      <c r="B333" s="1">
        <v>1.1000388E7</v>
      </c>
      <c r="C333" s="1" t="str">
        <f>VLOOKUP(B333,Equipment!A$1:J$575,9,0)</f>
        <v>#N/A</v>
      </c>
      <c r="D333" s="1" t="s">
        <v>4441</v>
      </c>
      <c r="E333" s="1" t="s">
        <v>4442</v>
      </c>
      <c r="F333" s="1" t="s">
        <v>269</v>
      </c>
      <c r="G333" s="1" t="s">
        <v>1369</v>
      </c>
      <c r="H333" s="1" t="s">
        <v>1260</v>
      </c>
      <c r="I333" s="1" t="s">
        <v>1260</v>
      </c>
      <c r="J333" s="1" t="s">
        <v>309</v>
      </c>
      <c r="K333" s="1" t="s">
        <v>4443</v>
      </c>
      <c r="L333" s="1">
        <v>0.5</v>
      </c>
      <c r="M333" s="1" t="s">
        <v>1260</v>
      </c>
      <c r="N333" s="1" t="s">
        <v>4444</v>
      </c>
      <c r="O333" s="1" t="s">
        <v>68</v>
      </c>
      <c r="P333" s="1">
        <v>1041.0</v>
      </c>
      <c r="Q333" s="1" t="s">
        <v>1260</v>
      </c>
      <c r="R333" s="1" t="s">
        <v>4443</v>
      </c>
      <c r="S333" s="1" t="s">
        <v>2439</v>
      </c>
      <c r="T333" s="1" t="s">
        <v>4446</v>
      </c>
      <c r="U333" s="1" t="s">
        <v>71</v>
      </c>
      <c r="V333" s="1" t="s">
        <v>72</v>
      </c>
      <c r="W333" s="1" t="s">
        <v>31</v>
      </c>
      <c r="X333" s="1" t="s">
        <v>1260</v>
      </c>
      <c r="Y333" s="1" t="s">
        <v>4446</v>
      </c>
      <c r="Z333" s="1" t="s">
        <v>51</v>
      </c>
      <c r="AA333" s="1" t="s">
        <v>31</v>
      </c>
      <c r="AB333" s="1" t="s">
        <v>31</v>
      </c>
      <c r="AC333" s="1" t="s">
        <v>74</v>
      </c>
      <c r="AD333" s="1" t="s">
        <v>31</v>
      </c>
      <c r="AE333" s="5"/>
    </row>
    <row r="334" ht="14.25" customHeight="1">
      <c r="A334" s="1" t="s">
        <v>33</v>
      </c>
      <c r="B334" s="1">
        <v>1.1000389E7</v>
      </c>
      <c r="C334" s="1" t="str">
        <f>VLOOKUP(B334,Equipment!A$1:J$575,9,0)</f>
        <v>E</v>
      </c>
      <c r="D334" s="1" t="s">
        <v>4448</v>
      </c>
      <c r="E334" s="1" t="s">
        <v>4449</v>
      </c>
      <c r="F334" s="1" t="s">
        <v>60</v>
      </c>
      <c r="G334" s="1" t="s">
        <v>4450</v>
      </c>
      <c r="H334" s="1" t="s">
        <v>1260</v>
      </c>
      <c r="I334" s="1" t="s">
        <v>31</v>
      </c>
      <c r="J334" s="1" t="s">
        <v>4451</v>
      </c>
      <c r="K334" s="1" t="s">
        <v>73</v>
      </c>
      <c r="L334" s="1">
        <v>0.0</v>
      </c>
      <c r="M334" s="1" t="s">
        <v>1260</v>
      </c>
      <c r="N334" s="1" t="s">
        <v>4451</v>
      </c>
      <c r="O334" s="1" t="s">
        <v>68</v>
      </c>
      <c r="P334" s="1">
        <v>1041.0</v>
      </c>
      <c r="Q334" s="1" t="s">
        <v>1260</v>
      </c>
      <c r="R334" s="1" t="s">
        <v>4453</v>
      </c>
      <c r="S334" s="1" t="s">
        <v>2439</v>
      </c>
      <c r="T334" s="1" t="s">
        <v>4454</v>
      </c>
      <c r="U334" s="1" t="s">
        <v>71</v>
      </c>
      <c r="V334" s="1" t="s">
        <v>72</v>
      </c>
      <c r="W334" s="1" t="s">
        <v>31</v>
      </c>
      <c r="X334" s="1" t="s">
        <v>31</v>
      </c>
      <c r="Y334" s="1" t="s">
        <v>73</v>
      </c>
      <c r="Z334" s="1" t="s">
        <v>51</v>
      </c>
      <c r="AA334" s="1" t="s">
        <v>31</v>
      </c>
      <c r="AB334" s="1" t="s">
        <v>31</v>
      </c>
      <c r="AC334" s="1" t="s">
        <v>74</v>
      </c>
      <c r="AD334" s="1" t="s">
        <v>31</v>
      </c>
      <c r="AE334" s="5"/>
    </row>
    <row r="335" ht="14.25" customHeight="1">
      <c r="A335" s="1" t="s">
        <v>33</v>
      </c>
      <c r="B335" s="1">
        <v>1.1000389E7</v>
      </c>
      <c r="C335" s="1" t="str">
        <f>VLOOKUP(B335,Equipment!A$1:J$575,9,0)</f>
        <v>E</v>
      </c>
      <c r="D335" s="1" t="s">
        <v>4458</v>
      </c>
      <c r="E335" s="1" t="s">
        <v>4459</v>
      </c>
      <c r="F335" s="1" t="s">
        <v>60</v>
      </c>
      <c r="G335" s="1" t="s">
        <v>2832</v>
      </c>
      <c r="H335" s="1" t="s">
        <v>1260</v>
      </c>
      <c r="I335" s="1" t="s">
        <v>1260</v>
      </c>
      <c r="J335" s="1" t="s">
        <v>120</v>
      </c>
      <c r="K335" s="1" t="s">
        <v>4460</v>
      </c>
      <c r="L335" s="1">
        <v>1.75</v>
      </c>
      <c r="M335" s="1" t="s">
        <v>1260</v>
      </c>
      <c r="N335" s="1" t="s">
        <v>4461</v>
      </c>
      <c r="O335" s="1" t="s">
        <v>68</v>
      </c>
      <c r="P335" s="1">
        <v>1041.0</v>
      </c>
      <c r="Q335" s="1" t="s">
        <v>1260</v>
      </c>
      <c r="R335" s="1" t="s">
        <v>4460</v>
      </c>
      <c r="S335" s="1" t="s">
        <v>2439</v>
      </c>
      <c r="T335" s="1" t="s">
        <v>4481</v>
      </c>
      <c r="U335" s="1" t="s">
        <v>71</v>
      </c>
      <c r="V335" s="1" t="s">
        <v>72</v>
      </c>
      <c r="W335" s="1" t="s">
        <v>31</v>
      </c>
      <c r="X335" s="1" t="s">
        <v>31</v>
      </c>
      <c r="Y335" s="1" t="s">
        <v>73</v>
      </c>
      <c r="Z335" s="1" t="s">
        <v>51</v>
      </c>
      <c r="AA335" s="1" t="s">
        <v>31</v>
      </c>
      <c r="AB335" s="1" t="s">
        <v>31</v>
      </c>
      <c r="AC335" s="1" t="s">
        <v>74</v>
      </c>
      <c r="AD335" s="1" t="s">
        <v>31</v>
      </c>
      <c r="AE335" s="5"/>
    </row>
    <row r="336" ht="14.25" customHeight="1">
      <c r="A336" s="1" t="s">
        <v>33</v>
      </c>
      <c r="B336" s="1">
        <v>1.1000449E7</v>
      </c>
      <c r="C336" s="1" t="str">
        <f>VLOOKUP(B336,Equipment!A$1:J$575,9,0)</f>
        <v>E</v>
      </c>
      <c r="D336" s="1" t="s">
        <v>31</v>
      </c>
      <c r="E336" s="1" t="s">
        <v>4490</v>
      </c>
      <c r="F336" s="1" t="s">
        <v>160</v>
      </c>
      <c r="G336" s="1" t="s">
        <v>4491</v>
      </c>
      <c r="H336" s="1" t="s">
        <v>1260</v>
      </c>
      <c r="I336" s="1" t="s">
        <v>31</v>
      </c>
      <c r="J336" s="1" t="s">
        <v>4492</v>
      </c>
      <c r="K336" s="1" t="s">
        <v>73</v>
      </c>
      <c r="L336" s="1">
        <v>0.0</v>
      </c>
      <c r="M336" s="1" t="s">
        <v>1260</v>
      </c>
      <c r="N336" s="1" t="s">
        <v>4492</v>
      </c>
      <c r="O336" s="1" t="s">
        <v>68</v>
      </c>
      <c r="P336" s="1">
        <v>1041.0</v>
      </c>
      <c r="Q336" s="1" t="s">
        <v>1260</v>
      </c>
      <c r="R336" s="1" t="s">
        <v>4495</v>
      </c>
      <c r="S336" s="1" t="s">
        <v>1401</v>
      </c>
      <c r="T336" s="1" t="s">
        <v>4496</v>
      </c>
      <c r="U336" s="1" t="s">
        <v>71</v>
      </c>
      <c r="V336" s="1" t="s">
        <v>72</v>
      </c>
      <c r="W336" s="1" t="s">
        <v>31</v>
      </c>
      <c r="X336" s="1" t="s">
        <v>31</v>
      </c>
      <c r="Y336" s="1" t="s">
        <v>73</v>
      </c>
      <c r="Z336" s="1" t="s">
        <v>51</v>
      </c>
      <c r="AA336" s="1" t="s">
        <v>31</v>
      </c>
      <c r="AB336" s="1" t="s">
        <v>31</v>
      </c>
      <c r="AC336" s="1" t="s">
        <v>74</v>
      </c>
      <c r="AD336" s="1" t="s">
        <v>31</v>
      </c>
      <c r="AE336" s="5"/>
    </row>
    <row r="337" ht="14.25" customHeight="1">
      <c r="A337" s="1" t="s">
        <v>33</v>
      </c>
      <c r="B337" s="1">
        <v>1.1000486E7</v>
      </c>
      <c r="C337" s="1" t="str">
        <f>VLOOKUP(B337,Equipment!A$1:J$575,9,0)</f>
        <v>E</v>
      </c>
      <c r="D337" s="1" t="s">
        <v>31</v>
      </c>
      <c r="E337" s="1" t="s">
        <v>4500</v>
      </c>
      <c r="F337" s="1" t="s">
        <v>1036</v>
      </c>
      <c r="G337" s="1" t="s">
        <v>4501</v>
      </c>
      <c r="H337" s="1" t="s">
        <v>1260</v>
      </c>
      <c r="I337" s="1" t="s">
        <v>31</v>
      </c>
      <c r="J337" s="1" t="s">
        <v>4502</v>
      </c>
      <c r="K337" s="1" t="s">
        <v>73</v>
      </c>
      <c r="L337" s="1">
        <v>0.0</v>
      </c>
      <c r="M337" s="1" t="s">
        <v>1260</v>
      </c>
      <c r="N337" s="1" t="s">
        <v>4502</v>
      </c>
      <c r="O337" s="1" t="s">
        <v>68</v>
      </c>
      <c r="P337" s="1">
        <v>1041.0</v>
      </c>
      <c r="Q337" s="1" t="s">
        <v>1260</v>
      </c>
      <c r="R337" s="1" t="s">
        <v>4504</v>
      </c>
      <c r="S337" s="1" t="s">
        <v>1401</v>
      </c>
      <c r="T337" s="1" t="s">
        <v>4505</v>
      </c>
      <c r="U337" s="1" t="s">
        <v>71</v>
      </c>
      <c r="V337" s="1" t="s">
        <v>72</v>
      </c>
      <c r="W337" s="1" t="s">
        <v>31</v>
      </c>
      <c r="X337" s="1" t="s">
        <v>31</v>
      </c>
      <c r="Y337" s="1" t="s">
        <v>73</v>
      </c>
      <c r="Z337" s="1" t="s">
        <v>51</v>
      </c>
      <c r="AA337" s="1" t="s">
        <v>31</v>
      </c>
      <c r="AB337" s="1" t="s">
        <v>31</v>
      </c>
      <c r="AC337" s="1" t="s">
        <v>74</v>
      </c>
      <c r="AD337" s="1" t="s">
        <v>31</v>
      </c>
      <c r="AE337" s="5"/>
    </row>
    <row r="338" ht="14.25" customHeight="1">
      <c r="A338" s="1" t="s">
        <v>33</v>
      </c>
      <c r="B338" s="1">
        <v>1.1000493E7</v>
      </c>
      <c r="C338" s="1" t="str">
        <f>VLOOKUP(B338,Equipment!A$1:J$575,9,0)</f>
        <v>E</v>
      </c>
      <c r="D338" s="1" t="s">
        <v>4508</v>
      </c>
      <c r="E338" s="1" t="s">
        <v>4509</v>
      </c>
      <c r="F338" s="1" t="s">
        <v>206</v>
      </c>
      <c r="G338" s="1" t="s">
        <v>4510</v>
      </c>
      <c r="H338" s="1" t="s">
        <v>1260</v>
      </c>
      <c r="I338" s="1" t="s">
        <v>1401</v>
      </c>
      <c r="J338" s="1" t="s">
        <v>991</v>
      </c>
      <c r="K338" s="1" t="s">
        <v>4512</v>
      </c>
      <c r="L338" s="1">
        <v>1.24</v>
      </c>
      <c r="M338" s="1" t="s">
        <v>1260</v>
      </c>
      <c r="N338" s="1" t="s">
        <v>4513</v>
      </c>
      <c r="O338" s="1" t="s">
        <v>68</v>
      </c>
      <c r="P338" s="1">
        <v>1041.0</v>
      </c>
      <c r="Q338" s="1" t="s">
        <v>1401</v>
      </c>
      <c r="R338" s="1" t="s">
        <v>4512</v>
      </c>
      <c r="S338" s="1" t="s">
        <v>2439</v>
      </c>
      <c r="T338" s="1" t="s">
        <v>4514</v>
      </c>
      <c r="U338" s="1" t="s">
        <v>71</v>
      </c>
      <c r="V338" s="1" t="s">
        <v>72</v>
      </c>
      <c r="W338" s="1" t="s">
        <v>31</v>
      </c>
      <c r="X338" s="1" t="s">
        <v>31</v>
      </c>
      <c r="Y338" s="1" t="s">
        <v>73</v>
      </c>
      <c r="Z338" s="1" t="s">
        <v>51</v>
      </c>
      <c r="AA338" s="1" t="s">
        <v>31</v>
      </c>
      <c r="AB338" s="1" t="s">
        <v>31</v>
      </c>
      <c r="AC338" s="1" t="s">
        <v>74</v>
      </c>
      <c r="AD338" s="1" t="s">
        <v>31</v>
      </c>
      <c r="AE338" s="5"/>
    </row>
    <row r="339" ht="14.25" customHeight="1">
      <c r="A339" s="1" t="s">
        <v>33</v>
      </c>
      <c r="B339" s="1">
        <v>1.1000511E7</v>
      </c>
      <c r="C339" s="1" t="str">
        <f>VLOOKUP(B339,Equipment!A$1:J$575,9,0)</f>
        <v>E</v>
      </c>
      <c r="D339" s="1" t="s">
        <v>4517</v>
      </c>
      <c r="E339" s="1" t="s">
        <v>4518</v>
      </c>
      <c r="F339" s="1" t="s">
        <v>1095</v>
      </c>
      <c r="G339" s="1" t="s">
        <v>4520</v>
      </c>
      <c r="H339" s="1" t="s">
        <v>1260</v>
      </c>
      <c r="I339" s="1" t="s">
        <v>1401</v>
      </c>
      <c r="J339" s="1" t="s">
        <v>4521</v>
      </c>
      <c r="K339" s="1" t="s">
        <v>4522</v>
      </c>
      <c r="L339" s="1">
        <v>14.08</v>
      </c>
      <c r="M339" s="1" t="s">
        <v>1260</v>
      </c>
      <c r="N339" s="1" t="s">
        <v>4523</v>
      </c>
      <c r="O339" s="1" t="s">
        <v>121</v>
      </c>
      <c r="P339" s="1">
        <v>1041.0</v>
      </c>
      <c r="Q339" s="1" t="s">
        <v>1401</v>
      </c>
      <c r="R339" s="1" t="s">
        <v>4522</v>
      </c>
      <c r="S339" s="1" t="s">
        <v>1401</v>
      </c>
      <c r="T339" s="1" t="s">
        <v>4524</v>
      </c>
      <c r="U339" s="1" t="s">
        <v>71</v>
      </c>
      <c r="V339" s="1" t="s">
        <v>72</v>
      </c>
      <c r="W339" s="1" t="s">
        <v>31</v>
      </c>
      <c r="X339" s="1" t="s">
        <v>31</v>
      </c>
      <c r="Y339" s="1" t="s">
        <v>73</v>
      </c>
      <c r="Z339" s="1" t="s">
        <v>51</v>
      </c>
      <c r="AA339" s="1" t="s">
        <v>31</v>
      </c>
      <c r="AB339" s="1" t="s">
        <v>31</v>
      </c>
      <c r="AC339" s="1" t="s">
        <v>656</v>
      </c>
      <c r="AD339" s="1" t="s">
        <v>31</v>
      </c>
      <c r="AE339" s="5"/>
    </row>
    <row r="340" ht="14.25" customHeight="1">
      <c r="A340" s="1" t="s">
        <v>33</v>
      </c>
      <c r="B340" s="1">
        <v>1.1001303E7</v>
      </c>
      <c r="C340" s="1" t="str">
        <f>VLOOKUP(B340,Equipment!A$1:J$575,9,0)</f>
        <v>E</v>
      </c>
      <c r="D340" s="1" t="s">
        <v>31</v>
      </c>
      <c r="E340" s="1" t="s">
        <v>4527</v>
      </c>
      <c r="F340" s="1" t="s">
        <v>649</v>
      </c>
      <c r="G340" s="1" t="s">
        <v>4528</v>
      </c>
      <c r="H340" s="1" t="s">
        <v>1260</v>
      </c>
      <c r="I340" s="1" t="s">
        <v>31</v>
      </c>
      <c r="J340" s="1" t="s">
        <v>4529</v>
      </c>
      <c r="K340" s="1" t="s">
        <v>73</v>
      </c>
      <c r="L340" s="1">
        <v>0.0</v>
      </c>
      <c r="M340" s="1" t="s">
        <v>1260</v>
      </c>
      <c r="N340" s="1" t="s">
        <v>4529</v>
      </c>
      <c r="O340" s="1" t="s">
        <v>121</v>
      </c>
      <c r="P340" s="1">
        <v>1041.0</v>
      </c>
      <c r="Q340" s="1" t="s">
        <v>1260</v>
      </c>
      <c r="R340" s="1" t="s">
        <v>4530</v>
      </c>
      <c r="S340" s="1" t="s">
        <v>1401</v>
      </c>
      <c r="T340" s="1" t="s">
        <v>4531</v>
      </c>
      <c r="U340" s="1" t="s">
        <v>71</v>
      </c>
      <c r="V340" s="1" t="s">
        <v>72</v>
      </c>
      <c r="W340" s="1" t="s">
        <v>31</v>
      </c>
      <c r="X340" s="1" t="s">
        <v>31</v>
      </c>
      <c r="Y340" s="1" t="s">
        <v>73</v>
      </c>
      <c r="Z340" s="1" t="s">
        <v>51</v>
      </c>
      <c r="AA340" s="1" t="s">
        <v>31</v>
      </c>
      <c r="AB340" s="1" t="s">
        <v>31</v>
      </c>
      <c r="AC340" s="1" t="s">
        <v>656</v>
      </c>
      <c r="AD340" s="1" t="s">
        <v>31</v>
      </c>
      <c r="AE340" s="5"/>
    </row>
    <row r="341" ht="14.25" customHeight="1">
      <c r="A341" s="1" t="s">
        <v>33</v>
      </c>
      <c r="B341" s="1">
        <v>1.1000349E7</v>
      </c>
      <c r="C341" s="1" t="str">
        <f>VLOOKUP(B341,Equipment!A$1:J$575,9,0)</f>
        <v>E</v>
      </c>
      <c r="D341" s="1" t="s">
        <v>4532</v>
      </c>
      <c r="E341" s="1" t="s">
        <v>4533</v>
      </c>
      <c r="F341" s="1" t="s">
        <v>805</v>
      </c>
      <c r="G341" s="1" t="s">
        <v>4534</v>
      </c>
      <c r="H341" s="1" t="s">
        <v>1260</v>
      </c>
      <c r="I341" s="1" t="s">
        <v>1401</v>
      </c>
      <c r="J341" s="1" t="s">
        <v>4283</v>
      </c>
      <c r="K341" s="1" t="s">
        <v>4535</v>
      </c>
      <c r="L341" s="1">
        <v>0.83</v>
      </c>
      <c r="M341" s="1" t="s">
        <v>1260</v>
      </c>
      <c r="N341" s="1" t="s">
        <v>4283</v>
      </c>
      <c r="O341" s="1" t="s">
        <v>131</v>
      </c>
      <c r="P341" s="1">
        <v>2001.0</v>
      </c>
      <c r="Q341" s="1" t="s">
        <v>1401</v>
      </c>
      <c r="R341" s="1" t="s">
        <v>4535</v>
      </c>
      <c r="S341" s="1" t="s">
        <v>31</v>
      </c>
      <c r="T341" s="1" t="s">
        <v>73</v>
      </c>
      <c r="U341" s="1" t="s">
        <v>71</v>
      </c>
      <c r="V341" s="1" t="s">
        <v>72</v>
      </c>
      <c r="W341" s="1" t="s">
        <v>31</v>
      </c>
      <c r="X341" s="1" t="s">
        <v>1260</v>
      </c>
      <c r="Y341" s="1" t="s">
        <v>4536</v>
      </c>
      <c r="Z341" s="1" t="s">
        <v>51</v>
      </c>
      <c r="AA341" s="1" t="s">
        <v>31</v>
      </c>
      <c r="AB341" s="1" t="s">
        <v>31</v>
      </c>
      <c r="AC341" s="1" t="s">
        <v>137</v>
      </c>
      <c r="AD341" s="1" t="s">
        <v>31</v>
      </c>
      <c r="AE341" s="5"/>
    </row>
    <row r="342" ht="14.25" customHeight="1">
      <c r="A342" s="1" t="s">
        <v>33</v>
      </c>
      <c r="B342" s="1">
        <v>1.1000377E7</v>
      </c>
      <c r="C342" s="1" t="str">
        <f>VLOOKUP(B342,Equipment!A$1:J$575,9,0)</f>
        <v>E</v>
      </c>
      <c r="D342" s="1" t="s">
        <v>31</v>
      </c>
      <c r="E342" s="1" t="s">
        <v>4537</v>
      </c>
      <c r="F342" s="1" t="s">
        <v>825</v>
      </c>
      <c r="G342" s="1" t="s">
        <v>4538</v>
      </c>
      <c r="H342" s="1" t="s">
        <v>1328</v>
      </c>
      <c r="I342" s="1" t="s">
        <v>31</v>
      </c>
      <c r="J342" s="1" t="s">
        <v>4539</v>
      </c>
      <c r="K342" s="1" t="s">
        <v>73</v>
      </c>
      <c r="L342" s="1">
        <v>0.0</v>
      </c>
      <c r="M342" s="1" t="s">
        <v>1328</v>
      </c>
      <c r="N342" s="1" t="s">
        <v>4539</v>
      </c>
      <c r="O342" s="1" t="s">
        <v>68</v>
      </c>
      <c r="P342" s="1">
        <v>1041.0</v>
      </c>
      <c r="Q342" s="1" t="s">
        <v>1328</v>
      </c>
      <c r="R342" s="1" t="s">
        <v>4540</v>
      </c>
      <c r="S342" s="1" t="s">
        <v>2197</v>
      </c>
      <c r="T342" s="1" t="s">
        <v>4541</v>
      </c>
      <c r="U342" s="1" t="s">
        <v>71</v>
      </c>
      <c r="V342" s="1" t="s">
        <v>72</v>
      </c>
      <c r="W342" s="1" t="s">
        <v>31</v>
      </c>
      <c r="X342" s="1" t="s">
        <v>31</v>
      </c>
      <c r="Y342" s="1" t="s">
        <v>73</v>
      </c>
      <c r="Z342" s="1" t="s">
        <v>51</v>
      </c>
      <c r="AA342" s="1" t="s">
        <v>31</v>
      </c>
      <c r="AB342" s="1" t="s">
        <v>31</v>
      </c>
      <c r="AC342" s="1" t="s">
        <v>74</v>
      </c>
      <c r="AD342" s="1" t="s">
        <v>31</v>
      </c>
      <c r="AE342" s="5"/>
    </row>
    <row r="343" ht="14.25" customHeight="1">
      <c r="A343" s="1" t="s">
        <v>33</v>
      </c>
      <c r="B343" s="1">
        <v>1.1000379E7</v>
      </c>
      <c r="C343" s="1" t="str">
        <f>VLOOKUP(B343,Equipment!A$1:J$575,9,0)</f>
        <v>E</v>
      </c>
      <c r="D343" s="1" t="s">
        <v>4542</v>
      </c>
      <c r="E343" s="1" t="s">
        <v>4543</v>
      </c>
      <c r="F343" s="1" t="s">
        <v>386</v>
      </c>
      <c r="G343" s="1" t="s">
        <v>4544</v>
      </c>
      <c r="H343" s="1" t="s">
        <v>1328</v>
      </c>
      <c r="I343" s="1" t="s">
        <v>1401</v>
      </c>
      <c r="J343" s="1" t="s">
        <v>318</v>
      </c>
      <c r="K343" s="1" t="s">
        <v>4545</v>
      </c>
      <c r="L343" s="1">
        <v>1.0</v>
      </c>
      <c r="M343" s="1" t="s">
        <v>1260</v>
      </c>
      <c r="N343" s="1" t="s">
        <v>4546</v>
      </c>
      <c r="O343" s="1" t="s">
        <v>68</v>
      </c>
      <c r="P343" s="1">
        <v>1041.0</v>
      </c>
      <c r="Q343" s="1" t="s">
        <v>1401</v>
      </c>
      <c r="R343" s="1" t="s">
        <v>4545</v>
      </c>
      <c r="S343" s="1" t="s">
        <v>2439</v>
      </c>
      <c r="T343" s="1" t="s">
        <v>4547</v>
      </c>
      <c r="U343" s="1" t="s">
        <v>71</v>
      </c>
      <c r="V343" s="1" t="s">
        <v>72</v>
      </c>
      <c r="W343" s="1" t="s">
        <v>31</v>
      </c>
      <c r="X343" s="1" t="s">
        <v>1260</v>
      </c>
      <c r="Y343" s="1" t="s">
        <v>4547</v>
      </c>
      <c r="Z343" s="1" t="s">
        <v>51</v>
      </c>
      <c r="AA343" s="1" t="s">
        <v>31</v>
      </c>
      <c r="AB343" s="1" t="s">
        <v>31</v>
      </c>
      <c r="AC343" s="1" t="s">
        <v>74</v>
      </c>
      <c r="AD343" s="1" t="s">
        <v>31</v>
      </c>
      <c r="AE343" s="5"/>
    </row>
    <row r="344" ht="14.25" customHeight="1">
      <c r="A344" s="1" t="s">
        <v>33</v>
      </c>
      <c r="B344" s="1">
        <v>1.1000379E7</v>
      </c>
      <c r="C344" s="1" t="str">
        <f>VLOOKUP(B344,Equipment!A$1:J$575,9,0)</f>
        <v>E</v>
      </c>
      <c r="D344" s="1" t="s">
        <v>4548</v>
      </c>
      <c r="E344" s="1" t="s">
        <v>4549</v>
      </c>
      <c r="F344" s="1" t="s">
        <v>386</v>
      </c>
      <c r="G344" s="1" t="s">
        <v>4309</v>
      </c>
      <c r="H344" s="1" t="s">
        <v>1328</v>
      </c>
      <c r="I344" s="1" t="s">
        <v>1401</v>
      </c>
      <c r="J344" s="1" t="s">
        <v>4550</v>
      </c>
      <c r="K344" s="1" t="s">
        <v>4551</v>
      </c>
      <c r="L344" s="1">
        <v>0.55</v>
      </c>
      <c r="M344" s="1" t="s">
        <v>1328</v>
      </c>
      <c r="N344" s="1" t="s">
        <v>4552</v>
      </c>
      <c r="O344" s="1" t="s">
        <v>68</v>
      </c>
      <c r="P344" s="1">
        <v>1041.0</v>
      </c>
      <c r="Q344" s="1" t="s">
        <v>1401</v>
      </c>
      <c r="R344" s="1" t="s">
        <v>4551</v>
      </c>
      <c r="S344" s="1" t="s">
        <v>2197</v>
      </c>
      <c r="T344" s="1" t="s">
        <v>4553</v>
      </c>
      <c r="U344" s="1" t="s">
        <v>71</v>
      </c>
      <c r="V344" s="1" t="s">
        <v>72</v>
      </c>
      <c r="W344" s="1" t="s">
        <v>31</v>
      </c>
      <c r="X344" s="1" t="s">
        <v>31</v>
      </c>
      <c r="Y344" s="1" t="s">
        <v>73</v>
      </c>
      <c r="Z344" s="1" t="s">
        <v>51</v>
      </c>
      <c r="AA344" s="1" t="s">
        <v>31</v>
      </c>
      <c r="AB344" s="1" t="s">
        <v>31</v>
      </c>
      <c r="AC344" s="1" t="s">
        <v>74</v>
      </c>
      <c r="AD344" s="1" t="s">
        <v>31</v>
      </c>
      <c r="AE344" s="5"/>
    </row>
    <row r="345" ht="14.25" customHeight="1">
      <c r="A345" s="1" t="s">
        <v>33</v>
      </c>
      <c r="B345" s="1">
        <v>1.1000379E7</v>
      </c>
      <c r="C345" s="1" t="str">
        <f>VLOOKUP(B345,Equipment!A$1:J$575,9,0)</f>
        <v>E</v>
      </c>
      <c r="D345" s="1" t="s">
        <v>4554</v>
      </c>
      <c r="E345" s="1" t="s">
        <v>4555</v>
      </c>
      <c r="F345" s="1" t="s">
        <v>386</v>
      </c>
      <c r="G345" s="1" t="s">
        <v>387</v>
      </c>
      <c r="H345" s="1" t="s">
        <v>1328</v>
      </c>
      <c r="I345" s="1" t="s">
        <v>1328</v>
      </c>
      <c r="J345" s="1" t="s">
        <v>469</v>
      </c>
      <c r="K345" s="1" t="s">
        <v>4556</v>
      </c>
      <c r="L345" s="1">
        <v>1.17</v>
      </c>
      <c r="M345" s="1" t="s">
        <v>1328</v>
      </c>
      <c r="N345" s="1" t="s">
        <v>4557</v>
      </c>
      <c r="O345" s="1" t="s">
        <v>68</v>
      </c>
      <c r="P345" s="1">
        <v>1041.0</v>
      </c>
      <c r="Q345" s="1" t="s">
        <v>1328</v>
      </c>
      <c r="R345" s="1" t="s">
        <v>4556</v>
      </c>
      <c r="S345" s="1" t="s">
        <v>2197</v>
      </c>
      <c r="T345" s="1" t="s">
        <v>4558</v>
      </c>
      <c r="U345" s="1" t="s">
        <v>71</v>
      </c>
      <c r="V345" s="1" t="s">
        <v>72</v>
      </c>
      <c r="W345" s="1" t="s">
        <v>31</v>
      </c>
      <c r="X345" s="1" t="s">
        <v>1328</v>
      </c>
      <c r="Y345" s="1" t="s">
        <v>4558</v>
      </c>
      <c r="Z345" s="1" t="s">
        <v>51</v>
      </c>
      <c r="AA345" s="1" t="s">
        <v>31</v>
      </c>
      <c r="AB345" s="1" t="s">
        <v>31</v>
      </c>
      <c r="AC345" s="1" t="s">
        <v>74</v>
      </c>
      <c r="AD345" s="1" t="s">
        <v>31</v>
      </c>
      <c r="AE345" s="5"/>
    </row>
    <row r="346" ht="14.25" customHeight="1">
      <c r="A346" s="1" t="s">
        <v>33</v>
      </c>
      <c r="B346" s="1">
        <v>1.1000387E7</v>
      </c>
      <c r="C346" s="1" t="str">
        <f>VLOOKUP(B346,Equipment!A$1:J$575,9,0)</f>
        <v>#N/A</v>
      </c>
      <c r="D346" s="1" t="s">
        <v>4559</v>
      </c>
      <c r="E346" s="1" t="s">
        <v>4560</v>
      </c>
      <c r="F346" s="1" t="s">
        <v>255</v>
      </c>
      <c r="G346" s="1" t="s">
        <v>3944</v>
      </c>
      <c r="H346" s="1" t="s">
        <v>1328</v>
      </c>
      <c r="I346" s="1" t="s">
        <v>1401</v>
      </c>
      <c r="J346" s="1" t="s">
        <v>579</v>
      </c>
      <c r="K346" s="1" t="s">
        <v>4561</v>
      </c>
      <c r="L346" s="1">
        <v>0.5</v>
      </c>
      <c r="M346" s="1" t="s">
        <v>1328</v>
      </c>
      <c r="N346" s="1" t="s">
        <v>4562</v>
      </c>
      <c r="O346" s="1" t="s">
        <v>68</v>
      </c>
      <c r="P346" s="1">
        <v>1041.0</v>
      </c>
      <c r="Q346" s="1" t="s">
        <v>1401</v>
      </c>
      <c r="R346" s="1" t="s">
        <v>4561</v>
      </c>
      <c r="S346" s="1" t="s">
        <v>31</v>
      </c>
      <c r="T346" s="1" t="s">
        <v>73</v>
      </c>
      <c r="U346" s="1" t="s">
        <v>71</v>
      </c>
      <c r="V346" s="1" t="s">
        <v>72</v>
      </c>
      <c r="W346" s="1" t="s">
        <v>31</v>
      </c>
      <c r="X346" s="1" t="s">
        <v>1328</v>
      </c>
      <c r="Y346" s="1" t="s">
        <v>4563</v>
      </c>
      <c r="Z346" s="1" t="s">
        <v>51</v>
      </c>
      <c r="AA346" s="1" t="s">
        <v>31</v>
      </c>
      <c r="AB346" s="1" t="s">
        <v>31</v>
      </c>
      <c r="AC346" s="1" t="s">
        <v>74</v>
      </c>
      <c r="AD346" s="1" t="s">
        <v>31</v>
      </c>
      <c r="AE346" s="5"/>
    </row>
    <row r="347" ht="14.25" customHeight="1">
      <c r="A347" s="1" t="s">
        <v>33</v>
      </c>
      <c r="B347" s="1">
        <v>1.1000389E7</v>
      </c>
      <c r="C347" s="1" t="str">
        <f>VLOOKUP(B347,Equipment!A$1:J$575,9,0)</f>
        <v>E</v>
      </c>
      <c r="D347" s="1" t="s">
        <v>31</v>
      </c>
      <c r="E347" s="1" t="s">
        <v>4564</v>
      </c>
      <c r="F347" s="1" t="s">
        <v>60</v>
      </c>
      <c r="G347" s="1" t="s">
        <v>4565</v>
      </c>
      <c r="H347" s="1" t="s">
        <v>1328</v>
      </c>
      <c r="I347" s="1" t="s">
        <v>31</v>
      </c>
      <c r="J347" s="1" t="s">
        <v>4566</v>
      </c>
      <c r="K347" s="1" t="s">
        <v>73</v>
      </c>
      <c r="L347" s="1">
        <v>0.0</v>
      </c>
      <c r="M347" s="1" t="s">
        <v>1328</v>
      </c>
      <c r="N347" s="1" t="s">
        <v>4566</v>
      </c>
      <c r="O347" s="1" t="s">
        <v>68</v>
      </c>
      <c r="P347" s="1">
        <v>1041.0</v>
      </c>
      <c r="Q347" s="1" t="s">
        <v>1328</v>
      </c>
      <c r="R347" s="1" t="s">
        <v>4567</v>
      </c>
      <c r="S347" s="1" t="s">
        <v>2197</v>
      </c>
      <c r="T347" s="1" t="s">
        <v>4568</v>
      </c>
      <c r="U347" s="1" t="s">
        <v>71</v>
      </c>
      <c r="V347" s="1" t="s">
        <v>72</v>
      </c>
      <c r="W347" s="1" t="s">
        <v>31</v>
      </c>
      <c r="X347" s="1" t="s">
        <v>31</v>
      </c>
      <c r="Y347" s="1" t="s">
        <v>73</v>
      </c>
      <c r="Z347" s="1" t="s">
        <v>51</v>
      </c>
      <c r="AA347" s="1" t="s">
        <v>31</v>
      </c>
      <c r="AB347" s="1" t="s">
        <v>31</v>
      </c>
      <c r="AC347" s="1" t="s">
        <v>74</v>
      </c>
      <c r="AD347" s="1" t="s">
        <v>31</v>
      </c>
      <c r="AE347" s="5"/>
    </row>
    <row r="348" ht="14.25" customHeight="1">
      <c r="A348" s="1" t="s">
        <v>33</v>
      </c>
      <c r="B348" s="1">
        <v>1.1000453E7</v>
      </c>
      <c r="C348" s="1" t="str">
        <f>VLOOKUP(B348,Equipment!A$1:J$575,9,0)</f>
        <v>E</v>
      </c>
      <c r="D348" s="1" t="s">
        <v>31</v>
      </c>
      <c r="E348" s="1" t="s">
        <v>4569</v>
      </c>
      <c r="F348" s="1" t="s">
        <v>283</v>
      </c>
      <c r="G348" s="1" t="s">
        <v>4570</v>
      </c>
      <c r="H348" s="1" t="s">
        <v>1328</v>
      </c>
      <c r="I348" s="1" t="s">
        <v>31</v>
      </c>
      <c r="J348" s="1" t="s">
        <v>4571</v>
      </c>
      <c r="K348" s="1" t="s">
        <v>73</v>
      </c>
      <c r="L348" s="1">
        <v>0.0</v>
      </c>
      <c r="M348" s="1" t="s">
        <v>1328</v>
      </c>
      <c r="N348" s="1" t="s">
        <v>4571</v>
      </c>
      <c r="O348" s="1" t="s">
        <v>68</v>
      </c>
      <c r="P348" s="1">
        <v>1041.0</v>
      </c>
      <c r="Q348" s="1" t="s">
        <v>1328</v>
      </c>
      <c r="R348" s="1" t="s">
        <v>4572</v>
      </c>
      <c r="S348" s="1" t="s">
        <v>1260</v>
      </c>
      <c r="T348" s="1" t="s">
        <v>4573</v>
      </c>
      <c r="U348" s="1" t="s">
        <v>71</v>
      </c>
      <c r="V348" s="1" t="s">
        <v>72</v>
      </c>
      <c r="W348" s="1" t="s">
        <v>31</v>
      </c>
      <c r="X348" s="1" t="s">
        <v>31</v>
      </c>
      <c r="Y348" s="1" t="s">
        <v>73</v>
      </c>
      <c r="Z348" s="1" t="s">
        <v>51</v>
      </c>
      <c r="AA348" s="1" t="s">
        <v>31</v>
      </c>
      <c r="AB348" s="1" t="s">
        <v>31</v>
      </c>
      <c r="AC348" s="1" t="s">
        <v>74</v>
      </c>
      <c r="AD348" s="1" t="s">
        <v>31</v>
      </c>
      <c r="AE348" s="5"/>
    </row>
    <row r="349" ht="14.25" customHeight="1">
      <c r="A349" s="1" t="s">
        <v>33</v>
      </c>
      <c r="B349" s="1">
        <v>1.1000454E7</v>
      </c>
      <c r="C349" s="1" t="str">
        <f>VLOOKUP(B349,Equipment!A$1:J$575,9,0)</f>
        <v>E</v>
      </c>
      <c r="D349" s="1" t="s">
        <v>4574</v>
      </c>
      <c r="E349" s="1" t="s">
        <v>4575</v>
      </c>
      <c r="F349" s="1" t="s">
        <v>294</v>
      </c>
      <c r="G349" s="1" t="s">
        <v>4576</v>
      </c>
      <c r="H349" s="1" t="s">
        <v>1328</v>
      </c>
      <c r="I349" s="1" t="s">
        <v>1401</v>
      </c>
      <c r="J349" s="1" t="s">
        <v>147</v>
      </c>
      <c r="K349" s="1" t="s">
        <v>4577</v>
      </c>
      <c r="L349" s="1">
        <v>0.42</v>
      </c>
      <c r="M349" s="1" t="s">
        <v>1328</v>
      </c>
      <c r="N349" s="1" t="s">
        <v>4578</v>
      </c>
      <c r="O349" s="1" t="s">
        <v>68</v>
      </c>
      <c r="P349" s="1">
        <v>1041.0</v>
      </c>
      <c r="Q349" s="1" t="s">
        <v>1401</v>
      </c>
      <c r="R349" s="1" t="s">
        <v>4577</v>
      </c>
      <c r="S349" s="1" t="s">
        <v>1260</v>
      </c>
      <c r="T349" s="1" t="s">
        <v>4579</v>
      </c>
      <c r="U349" s="1" t="s">
        <v>71</v>
      </c>
      <c r="V349" s="1" t="s">
        <v>72</v>
      </c>
      <c r="W349" s="1" t="s">
        <v>31</v>
      </c>
      <c r="X349" s="1" t="s">
        <v>31</v>
      </c>
      <c r="Y349" s="1" t="s">
        <v>73</v>
      </c>
      <c r="Z349" s="1" t="s">
        <v>51</v>
      </c>
      <c r="AA349" s="1" t="s">
        <v>31</v>
      </c>
      <c r="AB349" s="1" t="s">
        <v>31</v>
      </c>
      <c r="AC349" s="1" t="s">
        <v>74</v>
      </c>
      <c r="AD349" s="1" t="s">
        <v>31</v>
      </c>
      <c r="AE349" s="5"/>
    </row>
    <row r="350" ht="14.25" customHeight="1">
      <c r="A350" s="1" t="s">
        <v>33</v>
      </c>
      <c r="B350" s="1">
        <v>1.1000481E7</v>
      </c>
      <c r="C350" s="1" t="str">
        <f>VLOOKUP(B350,Equipment!A$1:J$575,9,0)</f>
        <v>E</v>
      </c>
      <c r="D350" s="1" t="s">
        <v>4580</v>
      </c>
      <c r="E350" s="1" t="s">
        <v>4581</v>
      </c>
      <c r="F350" s="1" t="s">
        <v>921</v>
      </c>
      <c r="G350" s="1" t="s">
        <v>4582</v>
      </c>
      <c r="H350" s="1" t="s">
        <v>1328</v>
      </c>
      <c r="I350" s="1" t="s">
        <v>2172</v>
      </c>
      <c r="J350" s="1" t="s">
        <v>4583</v>
      </c>
      <c r="K350" s="1" t="s">
        <v>4584</v>
      </c>
      <c r="L350" s="1">
        <v>2.12</v>
      </c>
      <c r="M350" s="1" t="s">
        <v>1328</v>
      </c>
      <c r="N350" s="1" t="s">
        <v>4583</v>
      </c>
      <c r="O350" s="1" t="s">
        <v>68</v>
      </c>
      <c r="P350" s="1">
        <v>1041.0</v>
      </c>
      <c r="Q350" s="1" t="s">
        <v>2172</v>
      </c>
      <c r="R350" s="1" t="s">
        <v>4584</v>
      </c>
      <c r="S350" s="1" t="s">
        <v>1260</v>
      </c>
      <c r="T350" s="1" t="s">
        <v>4585</v>
      </c>
      <c r="U350" s="1" t="s">
        <v>71</v>
      </c>
      <c r="V350" s="1" t="s">
        <v>72</v>
      </c>
      <c r="W350" s="1" t="s">
        <v>31</v>
      </c>
      <c r="X350" s="1" t="s">
        <v>31</v>
      </c>
      <c r="Y350" s="1" t="s">
        <v>73</v>
      </c>
      <c r="Z350" s="1" t="s">
        <v>51</v>
      </c>
      <c r="AA350" s="1" t="s">
        <v>31</v>
      </c>
      <c r="AB350" s="1" t="s">
        <v>31</v>
      </c>
      <c r="AC350" s="1" t="s">
        <v>74</v>
      </c>
      <c r="AD350" s="1" t="s">
        <v>31</v>
      </c>
      <c r="AE350" s="5"/>
    </row>
    <row r="351" ht="14.25" customHeight="1">
      <c r="A351" s="1" t="s">
        <v>33</v>
      </c>
      <c r="B351" s="1">
        <v>1.1000227E7</v>
      </c>
      <c r="C351" s="1" t="str">
        <f>VLOOKUP(B351,Equipment!A$1:J$575,9,0)</f>
        <v>E</v>
      </c>
      <c r="D351" s="1" t="s">
        <v>4586</v>
      </c>
      <c r="E351" s="1" t="s">
        <v>4587</v>
      </c>
      <c r="F351" s="1" t="s">
        <v>326</v>
      </c>
      <c r="G351" s="1" t="s">
        <v>4588</v>
      </c>
      <c r="H351" s="1" t="s">
        <v>1328</v>
      </c>
      <c r="I351" s="1" t="s">
        <v>1608</v>
      </c>
      <c r="J351" s="1" t="s">
        <v>147</v>
      </c>
      <c r="K351" s="1" t="s">
        <v>4589</v>
      </c>
      <c r="L351" s="1">
        <v>1.0</v>
      </c>
      <c r="M351" s="1" t="s">
        <v>1328</v>
      </c>
      <c r="N351" s="1" t="s">
        <v>147</v>
      </c>
      <c r="O351" s="1" t="s">
        <v>121</v>
      </c>
      <c r="P351" s="1">
        <v>2001.0</v>
      </c>
      <c r="Q351" s="1" t="s">
        <v>1608</v>
      </c>
      <c r="R351" s="1" t="s">
        <v>4589</v>
      </c>
      <c r="S351" s="1" t="s">
        <v>31</v>
      </c>
      <c r="T351" s="1" t="s">
        <v>73</v>
      </c>
      <c r="U351" s="1" t="s">
        <v>71</v>
      </c>
      <c r="V351" s="1" t="s">
        <v>72</v>
      </c>
      <c r="W351" s="1" t="s">
        <v>31</v>
      </c>
      <c r="X351" s="1" t="s">
        <v>1328</v>
      </c>
      <c r="Y351" s="1" t="s">
        <v>4590</v>
      </c>
      <c r="Z351" s="1" t="s">
        <v>51</v>
      </c>
      <c r="AA351" s="1" t="s">
        <v>31</v>
      </c>
      <c r="AB351" s="1" t="s">
        <v>31</v>
      </c>
      <c r="AC351" s="1" t="s">
        <v>331</v>
      </c>
      <c r="AD351" s="1" t="s">
        <v>31</v>
      </c>
      <c r="AE351" s="5"/>
    </row>
    <row r="352" ht="14.25" customHeight="1">
      <c r="A352" s="1" t="s">
        <v>33</v>
      </c>
      <c r="B352" s="1">
        <v>1.1000322E7</v>
      </c>
      <c r="C352" s="1" t="str">
        <f>VLOOKUP(B352,Equipment!A$1:J$575,9,0)</f>
        <v>E</v>
      </c>
      <c r="D352" s="1" t="s">
        <v>4591</v>
      </c>
      <c r="E352" s="1" t="s">
        <v>4592</v>
      </c>
      <c r="F352" s="1" t="s">
        <v>127</v>
      </c>
      <c r="G352" s="1" t="s">
        <v>4593</v>
      </c>
      <c r="H352" s="1" t="s">
        <v>1328</v>
      </c>
      <c r="I352" s="1" t="s">
        <v>1328</v>
      </c>
      <c r="J352" s="1" t="s">
        <v>955</v>
      </c>
      <c r="K352" s="1" t="s">
        <v>2596</v>
      </c>
      <c r="L352" s="1">
        <v>0.67</v>
      </c>
      <c r="M352" s="1" t="s">
        <v>1328</v>
      </c>
      <c r="N352" s="1" t="s">
        <v>955</v>
      </c>
      <c r="O352" s="1" t="s">
        <v>131</v>
      </c>
      <c r="P352" s="1">
        <v>2001.0</v>
      </c>
      <c r="Q352" s="1" t="s">
        <v>1260</v>
      </c>
      <c r="R352" s="1" t="s">
        <v>4594</v>
      </c>
      <c r="S352" s="1" t="s">
        <v>31</v>
      </c>
      <c r="T352" s="1" t="s">
        <v>73</v>
      </c>
      <c r="U352" s="1" t="s">
        <v>71</v>
      </c>
      <c r="V352" s="1" t="s">
        <v>72</v>
      </c>
      <c r="W352" s="1" t="s">
        <v>31</v>
      </c>
      <c r="X352" s="1" t="s">
        <v>1328</v>
      </c>
      <c r="Y352" s="1" t="s">
        <v>4595</v>
      </c>
      <c r="Z352" s="1" t="s">
        <v>51</v>
      </c>
      <c r="AA352" s="1" t="s">
        <v>31</v>
      </c>
      <c r="AB352" s="1" t="s">
        <v>31</v>
      </c>
      <c r="AC352" s="1" t="s">
        <v>137</v>
      </c>
      <c r="AD352" s="1" t="s">
        <v>31</v>
      </c>
      <c r="AE352" s="5"/>
    </row>
    <row r="353" ht="14.25" customHeight="1">
      <c r="A353" s="1" t="s">
        <v>33</v>
      </c>
      <c r="B353" s="1">
        <v>1.1000325E7</v>
      </c>
      <c r="C353" s="1" t="str">
        <f>VLOOKUP(B353,Equipment!A$1:J$575,9,0)</f>
        <v>E</v>
      </c>
      <c r="D353" s="1" t="s">
        <v>4596</v>
      </c>
      <c r="E353" s="1" t="s">
        <v>4597</v>
      </c>
      <c r="F353" s="1" t="s">
        <v>681</v>
      </c>
      <c r="G353" s="1" t="s">
        <v>4598</v>
      </c>
      <c r="H353" s="1" t="s">
        <v>1328</v>
      </c>
      <c r="I353" s="1" t="s">
        <v>1328</v>
      </c>
      <c r="J353" s="1" t="s">
        <v>456</v>
      </c>
      <c r="K353" s="1" t="s">
        <v>4599</v>
      </c>
      <c r="L353" s="1">
        <v>0.33</v>
      </c>
      <c r="M353" s="1" t="s">
        <v>1328</v>
      </c>
      <c r="N353" s="1" t="s">
        <v>456</v>
      </c>
      <c r="O353" s="1" t="s">
        <v>131</v>
      </c>
      <c r="P353" s="1">
        <v>2001.0</v>
      </c>
      <c r="Q353" s="1" t="s">
        <v>1260</v>
      </c>
      <c r="R353" s="1" t="s">
        <v>4600</v>
      </c>
      <c r="S353" s="1" t="s">
        <v>31</v>
      </c>
      <c r="T353" s="1" t="s">
        <v>73</v>
      </c>
      <c r="U353" s="1" t="s">
        <v>71</v>
      </c>
      <c r="V353" s="1" t="s">
        <v>72</v>
      </c>
      <c r="W353" s="1" t="s">
        <v>31</v>
      </c>
      <c r="X353" s="1" t="s">
        <v>1328</v>
      </c>
      <c r="Y353" s="1" t="s">
        <v>4601</v>
      </c>
      <c r="Z353" s="1" t="s">
        <v>51</v>
      </c>
      <c r="AA353" s="1" t="s">
        <v>31</v>
      </c>
      <c r="AB353" s="1" t="s">
        <v>31</v>
      </c>
      <c r="AC353" s="1" t="s">
        <v>137</v>
      </c>
      <c r="AD353" s="1" t="s">
        <v>31</v>
      </c>
      <c r="AE353" s="5"/>
    </row>
    <row r="354" ht="14.25" customHeight="1">
      <c r="A354" s="1" t="s">
        <v>33</v>
      </c>
      <c r="B354" s="1">
        <v>1.1000383E7</v>
      </c>
      <c r="C354" s="1" t="str">
        <f>VLOOKUP(B354,Equipment!A$1:J$575,9,0)</f>
        <v>E</v>
      </c>
      <c r="D354" s="1" t="s">
        <v>31</v>
      </c>
      <c r="E354" s="1" t="s">
        <v>4602</v>
      </c>
      <c r="F354" s="1" t="s">
        <v>861</v>
      </c>
      <c r="G354" s="1" t="s">
        <v>4603</v>
      </c>
      <c r="H354" s="1" t="s">
        <v>944</v>
      </c>
      <c r="I354" s="1" t="s">
        <v>31</v>
      </c>
      <c r="J354" s="1" t="s">
        <v>4604</v>
      </c>
      <c r="K354" s="1" t="s">
        <v>73</v>
      </c>
      <c r="L354" s="1">
        <v>0.0</v>
      </c>
      <c r="M354" s="1" t="s">
        <v>1328</v>
      </c>
      <c r="N354" s="1" t="s">
        <v>4605</v>
      </c>
      <c r="O354" s="1" t="s">
        <v>68</v>
      </c>
      <c r="P354" s="1">
        <v>1041.0</v>
      </c>
      <c r="Q354" s="1" t="s">
        <v>1328</v>
      </c>
      <c r="R354" s="1" t="s">
        <v>4606</v>
      </c>
      <c r="S354" s="1" t="s">
        <v>31</v>
      </c>
      <c r="T354" s="1" t="s">
        <v>73</v>
      </c>
      <c r="U354" s="1" t="s">
        <v>71</v>
      </c>
      <c r="V354" s="1" t="s">
        <v>72</v>
      </c>
      <c r="W354" s="1" t="s">
        <v>31</v>
      </c>
      <c r="X354" s="1" t="s">
        <v>944</v>
      </c>
      <c r="Y354" s="1" t="s">
        <v>285</v>
      </c>
      <c r="Z354" s="1" t="s">
        <v>51</v>
      </c>
      <c r="AA354" s="1" t="s">
        <v>31</v>
      </c>
      <c r="AB354" s="1" t="s">
        <v>31</v>
      </c>
      <c r="AC354" s="1" t="s">
        <v>74</v>
      </c>
      <c r="AD354" s="1" t="s">
        <v>31</v>
      </c>
      <c r="AE354" s="5"/>
    </row>
    <row r="355" ht="14.25" customHeight="1">
      <c r="A355" s="1" t="s">
        <v>33</v>
      </c>
      <c r="B355" s="1">
        <v>1.1000439E7</v>
      </c>
      <c r="C355" s="1" t="str">
        <f>VLOOKUP(B355,Equipment!A$1:J$575,9,0)</f>
        <v>E</v>
      </c>
      <c r="D355" s="1" t="s">
        <v>31</v>
      </c>
      <c r="E355" s="1" t="s">
        <v>4607</v>
      </c>
      <c r="F355" s="1" t="s">
        <v>894</v>
      </c>
      <c r="G355" s="1" t="s">
        <v>4608</v>
      </c>
      <c r="H355" s="1" t="s">
        <v>944</v>
      </c>
      <c r="I355" s="1" t="s">
        <v>31</v>
      </c>
      <c r="J355" s="1" t="s">
        <v>4609</v>
      </c>
      <c r="K355" s="1" t="s">
        <v>73</v>
      </c>
      <c r="L355" s="1">
        <v>0.0</v>
      </c>
      <c r="M355" s="1" t="s">
        <v>944</v>
      </c>
      <c r="N355" s="1" t="s">
        <v>4609</v>
      </c>
      <c r="O355" s="1" t="s">
        <v>68</v>
      </c>
      <c r="P355" s="1">
        <v>1041.0</v>
      </c>
      <c r="Q355" s="1" t="s">
        <v>944</v>
      </c>
      <c r="R355" s="1" t="s">
        <v>4610</v>
      </c>
      <c r="S355" s="1" t="s">
        <v>1608</v>
      </c>
      <c r="T355" s="1" t="s">
        <v>4611</v>
      </c>
      <c r="U355" s="1" t="s">
        <v>71</v>
      </c>
      <c r="V355" s="1" t="s">
        <v>72</v>
      </c>
      <c r="W355" s="1" t="s">
        <v>31</v>
      </c>
      <c r="X355" s="1" t="s">
        <v>31</v>
      </c>
      <c r="Y355" s="1" t="s">
        <v>73</v>
      </c>
      <c r="Z355" s="1" t="s">
        <v>51</v>
      </c>
      <c r="AA355" s="1" t="s">
        <v>31</v>
      </c>
      <c r="AB355" s="1" t="s">
        <v>31</v>
      </c>
      <c r="AC355" s="1" t="s">
        <v>74</v>
      </c>
      <c r="AD355" s="1" t="s">
        <v>31</v>
      </c>
      <c r="AE355" s="5"/>
    </row>
    <row r="356" ht="14.25" customHeight="1">
      <c r="A356" s="1" t="s">
        <v>33</v>
      </c>
      <c r="B356" s="1">
        <v>1.1000449E7</v>
      </c>
      <c r="C356" s="1" t="str">
        <f>VLOOKUP(B356,Equipment!A$1:J$575,9,0)</f>
        <v>E</v>
      </c>
      <c r="D356" s="1" t="s">
        <v>4612</v>
      </c>
      <c r="E356" s="1" t="s">
        <v>4613</v>
      </c>
      <c r="F356" s="1" t="s">
        <v>160</v>
      </c>
      <c r="G356" s="1" t="s">
        <v>4614</v>
      </c>
      <c r="H356" s="1" t="s">
        <v>944</v>
      </c>
      <c r="I356" s="1" t="s">
        <v>1328</v>
      </c>
      <c r="J356" s="1" t="s">
        <v>4615</v>
      </c>
      <c r="K356" s="1" t="s">
        <v>4616</v>
      </c>
      <c r="L356" s="1">
        <v>0.26</v>
      </c>
      <c r="M356" s="1" t="s">
        <v>944</v>
      </c>
      <c r="N356" s="1" t="s">
        <v>4615</v>
      </c>
      <c r="O356" s="1" t="s">
        <v>68</v>
      </c>
      <c r="P356" s="1">
        <v>1041.0</v>
      </c>
      <c r="Q356" s="1" t="s">
        <v>1328</v>
      </c>
      <c r="R356" s="1" t="s">
        <v>4616</v>
      </c>
      <c r="S356" s="1" t="s">
        <v>1328</v>
      </c>
      <c r="T356" s="1" t="s">
        <v>4617</v>
      </c>
      <c r="U356" s="1" t="s">
        <v>71</v>
      </c>
      <c r="V356" s="1" t="s">
        <v>72</v>
      </c>
      <c r="W356" s="1" t="s">
        <v>31</v>
      </c>
      <c r="X356" s="1" t="s">
        <v>31</v>
      </c>
      <c r="Y356" s="1" t="s">
        <v>73</v>
      </c>
      <c r="Z356" s="1" t="s">
        <v>51</v>
      </c>
      <c r="AA356" s="1" t="s">
        <v>31</v>
      </c>
      <c r="AB356" s="1" t="s">
        <v>31</v>
      </c>
      <c r="AC356" s="1" t="s">
        <v>74</v>
      </c>
      <c r="AD356" s="1" t="s">
        <v>31</v>
      </c>
      <c r="AE356" s="5"/>
    </row>
    <row r="357" ht="14.25" customHeight="1">
      <c r="A357" s="1" t="s">
        <v>33</v>
      </c>
      <c r="B357" s="1">
        <v>1.1000449E7</v>
      </c>
      <c r="C357" s="1" t="str">
        <f>VLOOKUP(B357,Equipment!A$1:J$575,9,0)</f>
        <v>E</v>
      </c>
      <c r="D357" s="1" t="s">
        <v>4618</v>
      </c>
      <c r="E357" s="1" t="s">
        <v>4619</v>
      </c>
      <c r="F357" s="1" t="s">
        <v>160</v>
      </c>
      <c r="G357" s="1" t="s">
        <v>4620</v>
      </c>
      <c r="H357" s="1" t="s">
        <v>944</v>
      </c>
      <c r="I357" s="1" t="s">
        <v>1401</v>
      </c>
      <c r="J357" s="1" t="s">
        <v>120</v>
      </c>
      <c r="K357" s="1" t="s">
        <v>4621</v>
      </c>
      <c r="L357" s="1">
        <v>47.0</v>
      </c>
      <c r="M357" s="1" t="s">
        <v>944</v>
      </c>
      <c r="N357" s="1" t="s">
        <v>4622</v>
      </c>
      <c r="O357" s="1" t="s">
        <v>68</v>
      </c>
      <c r="P357" s="1">
        <v>1041.0</v>
      </c>
      <c r="Q357" s="1" t="s">
        <v>1401</v>
      </c>
      <c r="R357" s="1" t="s">
        <v>4621</v>
      </c>
      <c r="S357" s="1" t="s">
        <v>1328</v>
      </c>
      <c r="T357" s="1" t="s">
        <v>4623</v>
      </c>
      <c r="U357" s="1" t="s">
        <v>71</v>
      </c>
      <c r="V357" s="1" t="s">
        <v>72</v>
      </c>
      <c r="W357" s="1" t="s">
        <v>31</v>
      </c>
      <c r="X357" s="1" t="s">
        <v>31</v>
      </c>
      <c r="Y357" s="1" t="s">
        <v>73</v>
      </c>
      <c r="Z357" s="1" t="s">
        <v>51</v>
      </c>
      <c r="AA357" s="1" t="s">
        <v>31</v>
      </c>
      <c r="AB357" s="1" t="s">
        <v>31</v>
      </c>
      <c r="AC357" s="1" t="s">
        <v>74</v>
      </c>
      <c r="AD357" s="1" t="s">
        <v>31</v>
      </c>
      <c r="AE357" s="5"/>
    </row>
    <row r="358" ht="14.25" customHeight="1">
      <c r="A358" s="1" t="s">
        <v>33</v>
      </c>
      <c r="B358" s="1">
        <v>1.1000208E7</v>
      </c>
      <c r="C358" s="1" t="str">
        <f>VLOOKUP(B358,Equipment!A$1:J$575,9,0)</f>
        <v>E</v>
      </c>
      <c r="D358" s="1" t="s">
        <v>4624</v>
      </c>
      <c r="E358" s="1" t="s">
        <v>4625</v>
      </c>
      <c r="F358" s="1" t="s">
        <v>316</v>
      </c>
      <c r="G358" s="1" t="s">
        <v>4626</v>
      </c>
      <c r="H358" s="1" t="s">
        <v>944</v>
      </c>
      <c r="I358" s="1" t="s">
        <v>1260</v>
      </c>
      <c r="J358" s="1" t="s">
        <v>3027</v>
      </c>
      <c r="K358" s="1" t="s">
        <v>4627</v>
      </c>
      <c r="L358" s="1">
        <v>1.5</v>
      </c>
      <c r="M358" s="1" t="s">
        <v>944</v>
      </c>
      <c r="N358" s="1" t="s">
        <v>3027</v>
      </c>
      <c r="O358" s="1" t="s">
        <v>131</v>
      </c>
      <c r="P358" s="1">
        <v>2001.0</v>
      </c>
      <c r="Q358" s="1" t="s">
        <v>1260</v>
      </c>
      <c r="R358" s="1" t="s">
        <v>4627</v>
      </c>
      <c r="S358" s="1" t="s">
        <v>944</v>
      </c>
      <c r="T358" s="1" t="s">
        <v>4628</v>
      </c>
      <c r="U358" s="1" t="s">
        <v>71</v>
      </c>
      <c r="V358" s="1" t="s">
        <v>72</v>
      </c>
      <c r="W358" s="1" t="s">
        <v>31</v>
      </c>
      <c r="X358" s="1" t="s">
        <v>944</v>
      </c>
      <c r="Y358" s="1" t="s">
        <v>3027</v>
      </c>
      <c r="Z358" s="1" t="s">
        <v>51</v>
      </c>
      <c r="AA358" s="1" t="s">
        <v>31</v>
      </c>
      <c r="AB358" s="1" t="s">
        <v>31</v>
      </c>
      <c r="AC358" s="1" t="s">
        <v>137</v>
      </c>
      <c r="AD358" s="1" t="s">
        <v>31</v>
      </c>
      <c r="AE358" s="5"/>
    </row>
    <row r="359" ht="14.25" customHeight="1">
      <c r="A359" s="1" t="s">
        <v>33</v>
      </c>
      <c r="B359" s="1">
        <v>1.1000254E7</v>
      </c>
      <c r="C359" s="1" t="str">
        <f>VLOOKUP(B359,Equipment!A$1:J$575,9,0)</f>
        <v>E</v>
      </c>
      <c r="D359" s="1" t="s">
        <v>4629</v>
      </c>
      <c r="E359" s="1" t="s">
        <v>4630</v>
      </c>
      <c r="F359" s="1" t="s">
        <v>477</v>
      </c>
      <c r="G359" s="1" t="s">
        <v>4631</v>
      </c>
      <c r="H359" s="1" t="s">
        <v>944</v>
      </c>
      <c r="I359" s="1" t="s">
        <v>944</v>
      </c>
      <c r="J359" s="1" t="s">
        <v>456</v>
      </c>
      <c r="K359" s="1" t="s">
        <v>4632</v>
      </c>
      <c r="L359" s="1">
        <v>3.75</v>
      </c>
      <c r="M359" s="1" t="s">
        <v>944</v>
      </c>
      <c r="N359" s="1" t="s">
        <v>456</v>
      </c>
      <c r="O359" s="1" t="s">
        <v>131</v>
      </c>
      <c r="P359" s="1">
        <v>2001.0</v>
      </c>
      <c r="Q359" s="1" t="s">
        <v>1260</v>
      </c>
      <c r="R359" s="1" t="s">
        <v>4633</v>
      </c>
      <c r="S359" s="1" t="s">
        <v>31</v>
      </c>
      <c r="T359" s="1" t="s">
        <v>73</v>
      </c>
      <c r="U359" s="1" t="s">
        <v>71</v>
      </c>
      <c r="V359" s="1" t="s">
        <v>72</v>
      </c>
      <c r="W359" s="1" t="s">
        <v>31</v>
      </c>
      <c r="X359" s="1" t="s">
        <v>944</v>
      </c>
      <c r="Y359" s="1" t="s">
        <v>4634</v>
      </c>
      <c r="Z359" s="1" t="s">
        <v>51</v>
      </c>
      <c r="AA359" s="1" t="s">
        <v>31</v>
      </c>
      <c r="AB359" s="1" t="s">
        <v>31</v>
      </c>
      <c r="AC359" s="1" t="s">
        <v>137</v>
      </c>
      <c r="AD359" s="1" t="s">
        <v>31</v>
      </c>
      <c r="AE359" s="5"/>
    </row>
    <row r="360" ht="14.25" customHeight="1">
      <c r="A360" s="1" t="s">
        <v>33</v>
      </c>
      <c r="B360" s="1">
        <v>1.1000292E7</v>
      </c>
      <c r="C360" s="1" t="str">
        <f>VLOOKUP(B360,Equipment!A$1:J$575,9,0)</f>
        <v>E</v>
      </c>
      <c r="D360" s="1" t="s">
        <v>4635</v>
      </c>
      <c r="E360" s="1" t="s">
        <v>4636</v>
      </c>
      <c r="F360" s="1" t="s">
        <v>589</v>
      </c>
      <c r="G360" s="1" t="s">
        <v>4637</v>
      </c>
      <c r="H360" s="1" t="s">
        <v>944</v>
      </c>
      <c r="I360" s="1" t="s">
        <v>944</v>
      </c>
      <c r="J360" s="1" t="s">
        <v>1157</v>
      </c>
      <c r="K360" s="1" t="s">
        <v>285</v>
      </c>
      <c r="L360" s="1">
        <v>2.0</v>
      </c>
      <c r="M360" s="1" t="s">
        <v>944</v>
      </c>
      <c r="N360" s="1" t="s">
        <v>1157</v>
      </c>
      <c r="O360" s="1" t="s">
        <v>491</v>
      </c>
      <c r="P360" s="1">
        <v>2001.0</v>
      </c>
      <c r="Q360" s="1" t="s">
        <v>1260</v>
      </c>
      <c r="R360" s="1" t="s">
        <v>4638</v>
      </c>
      <c r="S360" s="1" t="s">
        <v>31</v>
      </c>
      <c r="T360" s="1" t="s">
        <v>73</v>
      </c>
      <c r="U360" s="1" t="s">
        <v>71</v>
      </c>
      <c r="V360" s="1" t="s">
        <v>72</v>
      </c>
      <c r="W360" s="1" t="s">
        <v>31</v>
      </c>
      <c r="X360" s="1" t="s">
        <v>1328</v>
      </c>
      <c r="Y360" s="1" t="s">
        <v>4639</v>
      </c>
      <c r="Z360" s="1" t="s">
        <v>51</v>
      </c>
      <c r="AA360" s="1" t="s">
        <v>31</v>
      </c>
      <c r="AB360" s="1" t="s">
        <v>31</v>
      </c>
      <c r="AC360" s="1" t="s">
        <v>496</v>
      </c>
      <c r="AD360" s="1" t="s">
        <v>31</v>
      </c>
      <c r="AE360" s="5"/>
    </row>
    <row r="361" ht="14.25" customHeight="1">
      <c r="A361" s="1" t="s">
        <v>33</v>
      </c>
      <c r="B361" s="1">
        <v>1.1000378E7</v>
      </c>
      <c r="C361" s="1" t="str">
        <f>VLOOKUP(B361,Equipment!A$1:J$575,9,0)</f>
        <v>E</v>
      </c>
      <c r="D361" s="1" t="s">
        <v>31</v>
      </c>
      <c r="E361" s="1" t="s">
        <v>4640</v>
      </c>
      <c r="F361" s="1" t="s">
        <v>833</v>
      </c>
      <c r="G361" s="1" t="s">
        <v>4641</v>
      </c>
      <c r="H361" s="1" t="s">
        <v>963</v>
      </c>
      <c r="I361" s="1" t="s">
        <v>31</v>
      </c>
      <c r="J361" s="1" t="s">
        <v>4642</v>
      </c>
      <c r="K361" s="1" t="s">
        <v>73</v>
      </c>
      <c r="L361" s="1">
        <v>0.0</v>
      </c>
      <c r="M361" s="1" t="s">
        <v>963</v>
      </c>
      <c r="N361" s="1" t="s">
        <v>4642</v>
      </c>
      <c r="O361" s="1" t="s">
        <v>68</v>
      </c>
      <c r="P361" s="1">
        <v>1041.0</v>
      </c>
      <c r="Q361" s="1" t="s">
        <v>963</v>
      </c>
      <c r="R361" s="1" t="s">
        <v>4643</v>
      </c>
      <c r="S361" s="1" t="s">
        <v>1401</v>
      </c>
      <c r="T361" s="1" t="s">
        <v>4644</v>
      </c>
      <c r="U361" s="1" t="s">
        <v>71</v>
      </c>
      <c r="V361" s="1" t="s">
        <v>72</v>
      </c>
      <c r="W361" s="1" t="s">
        <v>31</v>
      </c>
      <c r="X361" s="1" t="s">
        <v>31</v>
      </c>
      <c r="Y361" s="1" t="s">
        <v>73</v>
      </c>
      <c r="Z361" s="1" t="s">
        <v>51</v>
      </c>
      <c r="AA361" s="1" t="s">
        <v>31</v>
      </c>
      <c r="AB361" s="1" t="s">
        <v>31</v>
      </c>
      <c r="AC361" s="1" t="s">
        <v>74</v>
      </c>
      <c r="AD361" s="1" t="s">
        <v>31</v>
      </c>
      <c r="AE361" s="5"/>
    </row>
    <row r="362" ht="14.25" customHeight="1">
      <c r="A362" s="1" t="s">
        <v>33</v>
      </c>
      <c r="B362" s="1">
        <v>1.1000383E7</v>
      </c>
      <c r="C362" s="1" t="str">
        <f>VLOOKUP(B362,Equipment!A$1:J$575,9,0)</f>
        <v>E</v>
      </c>
      <c r="D362" s="1" t="s">
        <v>4645</v>
      </c>
      <c r="E362" s="1" t="s">
        <v>4646</v>
      </c>
      <c r="F362" s="1" t="s">
        <v>861</v>
      </c>
      <c r="G362" s="1" t="s">
        <v>4647</v>
      </c>
      <c r="H362" s="1" t="s">
        <v>963</v>
      </c>
      <c r="I362" s="1" t="s">
        <v>963</v>
      </c>
      <c r="J362" s="1" t="s">
        <v>401</v>
      </c>
      <c r="K362" s="1" t="s">
        <v>4648</v>
      </c>
      <c r="L362" s="1">
        <v>9.08</v>
      </c>
      <c r="M362" s="1" t="s">
        <v>963</v>
      </c>
      <c r="N362" s="1" t="s">
        <v>4649</v>
      </c>
      <c r="O362" s="1" t="s">
        <v>68</v>
      </c>
      <c r="P362" s="1">
        <v>1041.0</v>
      </c>
      <c r="Q362" s="1" t="s">
        <v>963</v>
      </c>
      <c r="R362" s="1" t="s">
        <v>4648</v>
      </c>
      <c r="S362" s="1" t="s">
        <v>1401</v>
      </c>
      <c r="T362" s="1" t="s">
        <v>4650</v>
      </c>
      <c r="U362" s="1" t="s">
        <v>71</v>
      </c>
      <c r="V362" s="1" t="s">
        <v>72</v>
      </c>
      <c r="W362" s="1" t="s">
        <v>31</v>
      </c>
      <c r="X362" s="1" t="s">
        <v>963</v>
      </c>
      <c r="Y362" s="1" t="s">
        <v>4650</v>
      </c>
      <c r="Z362" s="1" t="s">
        <v>51</v>
      </c>
      <c r="AA362" s="1" t="s">
        <v>31</v>
      </c>
      <c r="AB362" s="1" t="s">
        <v>31</v>
      </c>
      <c r="AC362" s="1" t="s">
        <v>74</v>
      </c>
      <c r="AD362" s="1" t="s">
        <v>31</v>
      </c>
      <c r="AE362" s="5"/>
    </row>
    <row r="363" ht="14.25" customHeight="1">
      <c r="A363" s="1" t="s">
        <v>33</v>
      </c>
      <c r="B363" s="1">
        <v>1.1000388E7</v>
      </c>
      <c r="C363" s="1" t="str">
        <f>VLOOKUP(B363,Equipment!A$1:J$575,9,0)</f>
        <v>#N/A</v>
      </c>
      <c r="D363" s="1" t="s">
        <v>4651</v>
      </c>
      <c r="E363" s="1" t="s">
        <v>4652</v>
      </c>
      <c r="F363" s="1" t="s">
        <v>269</v>
      </c>
      <c r="G363" s="1" t="s">
        <v>3944</v>
      </c>
      <c r="H363" s="1" t="s">
        <v>963</v>
      </c>
      <c r="I363" s="1" t="s">
        <v>2172</v>
      </c>
      <c r="J363" s="1" t="s">
        <v>2727</v>
      </c>
      <c r="K363" s="1" t="s">
        <v>4653</v>
      </c>
      <c r="L363" s="1">
        <v>0.83</v>
      </c>
      <c r="M363" s="1" t="s">
        <v>963</v>
      </c>
      <c r="N363" s="1" t="s">
        <v>4654</v>
      </c>
      <c r="O363" s="1" t="s">
        <v>68</v>
      </c>
      <c r="P363" s="1">
        <v>1041.0</v>
      </c>
      <c r="Q363" s="1" t="s">
        <v>2172</v>
      </c>
      <c r="R363" s="1" t="s">
        <v>4653</v>
      </c>
      <c r="S363" s="1" t="s">
        <v>944</v>
      </c>
      <c r="T363" s="1" t="s">
        <v>4655</v>
      </c>
      <c r="U363" s="1" t="s">
        <v>71</v>
      </c>
      <c r="V363" s="1" t="s">
        <v>72</v>
      </c>
      <c r="W363" s="1" t="s">
        <v>31</v>
      </c>
      <c r="X363" s="1" t="s">
        <v>963</v>
      </c>
      <c r="Y363" s="1" t="s">
        <v>4656</v>
      </c>
      <c r="Z363" s="1" t="s">
        <v>51</v>
      </c>
      <c r="AA363" s="1" t="s">
        <v>31</v>
      </c>
      <c r="AB363" s="1" t="s">
        <v>31</v>
      </c>
      <c r="AC363" s="1" t="s">
        <v>74</v>
      </c>
      <c r="AD363" s="1" t="s">
        <v>31</v>
      </c>
      <c r="AE363" s="5"/>
    </row>
    <row r="364" ht="14.25" customHeight="1">
      <c r="A364" s="1" t="s">
        <v>33</v>
      </c>
      <c r="B364" s="1">
        <v>1.100039E7</v>
      </c>
      <c r="C364" s="1" t="str">
        <f>VLOOKUP(B364,Equipment!A$1:J$575,9,0)</f>
        <v>E</v>
      </c>
      <c r="D364" s="1" t="s">
        <v>4657</v>
      </c>
      <c r="E364" s="1" t="s">
        <v>4658</v>
      </c>
      <c r="F364" s="1" t="s">
        <v>608</v>
      </c>
      <c r="G364" s="1" t="s">
        <v>4659</v>
      </c>
      <c r="H364" s="1" t="s">
        <v>963</v>
      </c>
      <c r="I364" s="1" t="s">
        <v>2172</v>
      </c>
      <c r="J364" s="1" t="s">
        <v>4660</v>
      </c>
      <c r="K364" s="1" t="s">
        <v>4661</v>
      </c>
      <c r="L364" s="1">
        <v>0.41</v>
      </c>
      <c r="M364" s="1" t="s">
        <v>963</v>
      </c>
      <c r="N364" s="1" t="s">
        <v>4660</v>
      </c>
      <c r="O364" s="1" t="s">
        <v>68</v>
      </c>
      <c r="P364" s="1">
        <v>1041.0</v>
      </c>
      <c r="Q364" s="1" t="s">
        <v>2172</v>
      </c>
      <c r="R364" s="1" t="s">
        <v>4661</v>
      </c>
      <c r="S364" s="1" t="s">
        <v>1401</v>
      </c>
      <c r="T364" s="1" t="s">
        <v>4662</v>
      </c>
      <c r="U364" s="1" t="s">
        <v>71</v>
      </c>
      <c r="V364" s="1" t="s">
        <v>72</v>
      </c>
      <c r="W364" s="1" t="s">
        <v>31</v>
      </c>
      <c r="X364" s="1" t="s">
        <v>735</v>
      </c>
      <c r="Y364" s="1" t="s">
        <v>2759</v>
      </c>
      <c r="Z364" s="1" t="s">
        <v>51</v>
      </c>
      <c r="AA364" s="1" t="s">
        <v>31</v>
      </c>
      <c r="AB364" s="1" t="s">
        <v>31</v>
      </c>
      <c r="AC364" s="1" t="s">
        <v>74</v>
      </c>
      <c r="AD364" s="1" t="s">
        <v>31</v>
      </c>
      <c r="AE364" s="5"/>
    </row>
    <row r="365" ht="14.25" customHeight="1">
      <c r="A365" s="1" t="s">
        <v>33</v>
      </c>
      <c r="B365" s="1">
        <v>1.100039E7</v>
      </c>
      <c r="C365" s="1" t="str">
        <f>VLOOKUP(B365,Equipment!A$1:J$575,9,0)</f>
        <v>E</v>
      </c>
      <c r="D365" s="1" t="s">
        <v>4663</v>
      </c>
      <c r="E365" s="1" t="s">
        <v>4664</v>
      </c>
      <c r="F365" s="1" t="s">
        <v>608</v>
      </c>
      <c r="G365" s="1" t="s">
        <v>4665</v>
      </c>
      <c r="H365" s="1" t="s">
        <v>963</v>
      </c>
      <c r="I365" s="1" t="s">
        <v>2172</v>
      </c>
      <c r="J365" s="1" t="s">
        <v>4666</v>
      </c>
      <c r="K365" s="1" t="s">
        <v>4667</v>
      </c>
      <c r="L365" s="1">
        <v>0.62</v>
      </c>
      <c r="M365" s="1" t="s">
        <v>963</v>
      </c>
      <c r="N365" s="1" t="s">
        <v>4666</v>
      </c>
      <c r="O365" s="1" t="s">
        <v>68</v>
      </c>
      <c r="P365" s="1">
        <v>1041.0</v>
      </c>
      <c r="Q365" s="1" t="s">
        <v>2172</v>
      </c>
      <c r="R365" s="1" t="s">
        <v>4667</v>
      </c>
      <c r="S365" s="1" t="s">
        <v>944</v>
      </c>
      <c r="T365" s="1" t="s">
        <v>4668</v>
      </c>
      <c r="U365" s="1" t="s">
        <v>71</v>
      </c>
      <c r="V365" s="1" t="s">
        <v>72</v>
      </c>
      <c r="W365" s="1" t="s">
        <v>31</v>
      </c>
      <c r="X365" s="1" t="s">
        <v>31</v>
      </c>
      <c r="Y365" s="1" t="s">
        <v>73</v>
      </c>
      <c r="Z365" s="1" t="s">
        <v>51</v>
      </c>
      <c r="AA365" s="1" t="s">
        <v>31</v>
      </c>
      <c r="AB365" s="1" t="s">
        <v>31</v>
      </c>
      <c r="AC365" s="1" t="s">
        <v>74</v>
      </c>
      <c r="AD365" s="1" t="s">
        <v>31</v>
      </c>
      <c r="AE365" s="5"/>
    </row>
    <row r="366" ht="14.25" customHeight="1">
      <c r="A366" s="1" t="s">
        <v>33</v>
      </c>
      <c r="B366" s="1">
        <v>1.1000452E7</v>
      </c>
      <c r="C366" s="1" t="str">
        <f>VLOOKUP(B366,Equipment!A$1:J$575,9,0)</f>
        <v>E</v>
      </c>
      <c r="D366" s="1" t="s">
        <v>4669</v>
      </c>
      <c r="E366" s="1" t="s">
        <v>4670</v>
      </c>
      <c r="F366" s="1" t="s">
        <v>180</v>
      </c>
      <c r="G366" s="1" t="s">
        <v>4671</v>
      </c>
      <c r="H366" s="1" t="s">
        <v>963</v>
      </c>
      <c r="I366" s="1" t="s">
        <v>944</v>
      </c>
      <c r="J366" s="1" t="s">
        <v>4672</v>
      </c>
      <c r="K366" s="1" t="s">
        <v>1889</v>
      </c>
      <c r="L366" s="1">
        <v>0.83</v>
      </c>
      <c r="M366" s="1" t="s">
        <v>963</v>
      </c>
      <c r="N366" s="1" t="s">
        <v>4673</v>
      </c>
      <c r="O366" s="1" t="s">
        <v>68</v>
      </c>
      <c r="P366" s="1">
        <v>1041.0</v>
      </c>
      <c r="Q366" s="1" t="s">
        <v>944</v>
      </c>
      <c r="R366" s="1" t="s">
        <v>1889</v>
      </c>
      <c r="S366" s="1" t="s">
        <v>944</v>
      </c>
      <c r="T366" s="1" t="s">
        <v>4674</v>
      </c>
      <c r="U366" s="1" t="s">
        <v>71</v>
      </c>
      <c r="V366" s="1" t="s">
        <v>72</v>
      </c>
      <c r="W366" s="1" t="s">
        <v>31</v>
      </c>
      <c r="X366" s="1" t="s">
        <v>31</v>
      </c>
      <c r="Y366" s="1" t="s">
        <v>73</v>
      </c>
      <c r="Z366" s="1" t="s">
        <v>51</v>
      </c>
      <c r="AA366" s="1" t="s">
        <v>31</v>
      </c>
      <c r="AB366" s="1" t="s">
        <v>31</v>
      </c>
      <c r="AC366" s="1" t="s">
        <v>74</v>
      </c>
      <c r="AD366" s="1" t="s">
        <v>31</v>
      </c>
      <c r="AE366" s="5"/>
    </row>
    <row r="367" ht="14.25" customHeight="1">
      <c r="A367" s="1" t="s">
        <v>33</v>
      </c>
      <c r="B367" s="1">
        <v>1.1001303E7</v>
      </c>
      <c r="C367" s="1" t="str">
        <f>VLOOKUP(B367,Equipment!A$1:J$575,9,0)</f>
        <v>E</v>
      </c>
      <c r="D367" s="1" t="s">
        <v>4675</v>
      </c>
      <c r="E367" s="1" t="s">
        <v>4676</v>
      </c>
      <c r="F367" s="1" t="s">
        <v>649</v>
      </c>
      <c r="G367" s="1" t="s">
        <v>4677</v>
      </c>
      <c r="H367" s="1" t="s">
        <v>963</v>
      </c>
      <c r="I367" s="1" t="s">
        <v>963</v>
      </c>
      <c r="J367" s="1" t="s">
        <v>3553</v>
      </c>
      <c r="K367" s="1" t="s">
        <v>4678</v>
      </c>
      <c r="L367" s="1">
        <v>1.42</v>
      </c>
      <c r="M367" s="1" t="s">
        <v>963</v>
      </c>
      <c r="N367" s="1" t="s">
        <v>4679</v>
      </c>
      <c r="O367" s="1" t="s">
        <v>121</v>
      </c>
      <c r="P367" s="1">
        <v>1041.0</v>
      </c>
      <c r="Q367" s="1" t="s">
        <v>963</v>
      </c>
      <c r="R367" s="1" t="s">
        <v>4678</v>
      </c>
      <c r="S367" s="1" t="s">
        <v>944</v>
      </c>
      <c r="T367" s="1" t="s">
        <v>4680</v>
      </c>
      <c r="U367" s="1" t="s">
        <v>71</v>
      </c>
      <c r="V367" s="1" t="s">
        <v>72</v>
      </c>
      <c r="W367" s="1" t="s">
        <v>31</v>
      </c>
      <c r="X367" s="1" t="s">
        <v>31</v>
      </c>
      <c r="Y367" s="1" t="s">
        <v>73</v>
      </c>
      <c r="Z367" s="1" t="s">
        <v>51</v>
      </c>
      <c r="AA367" s="1" t="s">
        <v>31</v>
      </c>
      <c r="AB367" s="1" t="s">
        <v>31</v>
      </c>
      <c r="AC367" s="1" t="s">
        <v>656</v>
      </c>
      <c r="AD367" s="1" t="s">
        <v>31</v>
      </c>
      <c r="AE367" s="5"/>
    </row>
    <row r="368" ht="14.25" customHeight="1">
      <c r="A368" s="1" t="s">
        <v>33</v>
      </c>
      <c r="B368" s="1">
        <v>1.1000254E7</v>
      </c>
      <c r="C368" s="1" t="str">
        <f>VLOOKUP(B368,Equipment!A$1:J$575,9,0)</f>
        <v>E</v>
      </c>
      <c r="D368" s="1" t="s">
        <v>4681</v>
      </c>
      <c r="E368" s="1" t="s">
        <v>4682</v>
      </c>
      <c r="F368" s="1" t="s">
        <v>477</v>
      </c>
      <c r="G368" s="1" t="s">
        <v>4683</v>
      </c>
      <c r="H368" s="1" t="s">
        <v>963</v>
      </c>
      <c r="I368" s="1" t="s">
        <v>963</v>
      </c>
      <c r="J368" s="1" t="s">
        <v>4684</v>
      </c>
      <c r="K368" s="1" t="s">
        <v>4685</v>
      </c>
      <c r="L368" s="1">
        <v>0.69</v>
      </c>
      <c r="M368" s="1" t="s">
        <v>963</v>
      </c>
      <c r="N368" s="1" t="s">
        <v>4684</v>
      </c>
      <c r="O368" s="1" t="s">
        <v>131</v>
      </c>
      <c r="P368" s="1">
        <v>2001.0</v>
      </c>
      <c r="Q368" s="1" t="s">
        <v>1260</v>
      </c>
      <c r="R368" s="1" t="s">
        <v>4686</v>
      </c>
      <c r="S368" s="1" t="s">
        <v>31</v>
      </c>
      <c r="T368" s="1" t="s">
        <v>73</v>
      </c>
      <c r="U368" s="1" t="s">
        <v>71</v>
      </c>
      <c r="V368" s="1" t="s">
        <v>72</v>
      </c>
      <c r="W368" s="1" t="s">
        <v>31</v>
      </c>
      <c r="X368" s="1" t="s">
        <v>963</v>
      </c>
      <c r="Y368" s="1" t="s">
        <v>4684</v>
      </c>
      <c r="Z368" s="1" t="s">
        <v>51</v>
      </c>
      <c r="AA368" s="1" t="s">
        <v>31</v>
      </c>
      <c r="AB368" s="1" t="s">
        <v>31</v>
      </c>
      <c r="AC368" s="1" t="s">
        <v>137</v>
      </c>
      <c r="AD368" s="1" t="s">
        <v>31</v>
      </c>
      <c r="AE368" s="5"/>
    </row>
    <row r="369" ht="14.25" customHeight="1">
      <c r="A369" s="1" t="s">
        <v>33</v>
      </c>
      <c r="B369" s="1">
        <v>1.1000255E7</v>
      </c>
      <c r="C369" s="1" t="str">
        <f>VLOOKUP(B369,Equipment!A$1:J$575,9,0)</f>
        <v>E</v>
      </c>
      <c r="D369" s="1" t="s">
        <v>4687</v>
      </c>
      <c r="E369" s="1" t="s">
        <v>4688</v>
      </c>
      <c r="F369" s="1" t="s">
        <v>517</v>
      </c>
      <c r="G369" s="1" t="s">
        <v>4689</v>
      </c>
      <c r="H369" s="1" t="s">
        <v>963</v>
      </c>
      <c r="I369" s="1" t="s">
        <v>963</v>
      </c>
      <c r="J369" s="1" t="s">
        <v>4690</v>
      </c>
      <c r="K369" s="1" t="s">
        <v>4691</v>
      </c>
      <c r="L369" s="1">
        <v>0.83</v>
      </c>
      <c r="M369" s="1" t="s">
        <v>963</v>
      </c>
      <c r="N369" s="1" t="s">
        <v>4690</v>
      </c>
      <c r="O369" s="1" t="s">
        <v>131</v>
      </c>
      <c r="P369" s="1">
        <v>2001.0</v>
      </c>
      <c r="Q369" s="1" t="s">
        <v>1260</v>
      </c>
      <c r="R369" s="1" t="s">
        <v>4692</v>
      </c>
      <c r="S369" s="1" t="s">
        <v>31</v>
      </c>
      <c r="T369" s="1" t="s">
        <v>73</v>
      </c>
      <c r="U369" s="1" t="s">
        <v>71</v>
      </c>
      <c r="V369" s="1" t="s">
        <v>72</v>
      </c>
      <c r="W369" s="1" t="s">
        <v>31</v>
      </c>
      <c r="X369" s="1" t="s">
        <v>963</v>
      </c>
      <c r="Y369" s="1" t="s">
        <v>4690</v>
      </c>
      <c r="Z369" s="1" t="s">
        <v>51</v>
      </c>
      <c r="AA369" s="1" t="s">
        <v>31</v>
      </c>
      <c r="AB369" s="1" t="s">
        <v>31</v>
      </c>
      <c r="AC369" s="1" t="s">
        <v>137</v>
      </c>
      <c r="AD369" s="1" t="s">
        <v>31</v>
      </c>
      <c r="AE369" s="5"/>
    </row>
    <row r="370" ht="14.25" customHeight="1">
      <c r="A370" s="1" t="s">
        <v>33</v>
      </c>
      <c r="B370" s="1">
        <v>1.1000323E7</v>
      </c>
      <c r="C370" s="1" t="str">
        <f>VLOOKUP(B370,Equipment!A$1:J$575,9,0)</f>
        <v>E</v>
      </c>
      <c r="D370" s="1" t="s">
        <v>4693</v>
      </c>
      <c r="E370" s="1" t="s">
        <v>4694</v>
      </c>
      <c r="F370" s="1" t="s">
        <v>725</v>
      </c>
      <c r="G370" s="1" t="s">
        <v>4695</v>
      </c>
      <c r="H370" s="1" t="s">
        <v>963</v>
      </c>
      <c r="I370" s="1" t="s">
        <v>963</v>
      </c>
      <c r="J370" s="1" t="s">
        <v>4696</v>
      </c>
      <c r="K370" s="1" t="s">
        <v>900</v>
      </c>
      <c r="L370" s="1">
        <v>0.58</v>
      </c>
      <c r="M370" s="1" t="s">
        <v>963</v>
      </c>
      <c r="N370" s="1" t="s">
        <v>4696</v>
      </c>
      <c r="O370" s="1" t="s">
        <v>491</v>
      </c>
      <c r="P370" s="1">
        <v>2001.0</v>
      </c>
      <c r="Q370" s="1" t="s">
        <v>1260</v>
      </c>
      <c r="R370" s="1" t="s">
        <v>4697</v>
      </c>
      <c r="S370" s="1" t="s">
        <v>31</v>
      </c>
      <c r="T370" s="1" t="s">
        <v>73</v>
      </c>
      <c r="U370" s="1" t="s">
        <v>71</v>
      </c>
      <c r="V370" s="1" t="s">
        <v>72</v>
      </c>
      <c r="W370" s="1" t="s">
        <v>31</v>
      </c>
      <c r="X370" s="1" t="s">
        <v>963</v>
      </c>
      <c r="Y370" s="1" t="s">
        <v>4696</v>
      </c>
      <c r="Z370" s="1" t="s">
        <v>51</v>
      </c>
      <c r="AA370" s="1" t="s">
        <v>31</v>
      </c>
      <c r="AB370" s="1" t="s">
        <v>31</v>
      </c>
      <c r="AC370" s="1" t="s">
        <v>496</v>
      </c>
      <c r="AD370" s="1" t="s">
        <v>31</v>
      </c>
      <c r="AE370" s="5"/>
    </row>
    <row r="371" ht="14.25" customHeight="1">
      <c r="A371" s="1" t="s">
        <v>33</v>
      </c>
      <c r="B371" s="1">
        <v>1.1000551E7</v>
      </c>
      <c r="C371" s="1" t="str">
        <f>VLOOKUP(B371,Equipment!A$1:J$575,9,0)</f>
        <v>E</v>
      </c>
      <c r="D371" s="1" t="s">
        <v>4698</v>
      </c>
      <c r="E371" s="1" t="s">
        <v>4699</v>
      </c>
      <c r="F371" s="1" t="s">
        <v>217</v>
      </c>
      <c r="G371" s="1" t="s">
        <v>4700</v>
      </c>
      <c r="H371" s="1" t="s">
        <v>735</v>
      </c>
      <c r="I371" s="1" t="s">
        <v>735</v>
      </c>
      <c r="J371" s="1" t="s">
        <v>4701</v>
      </c>
      <c r="K371" s="1" t="s">
        <v>4702</v>
      </c>
      <c r="L371" s="1">
        <v>0.5</v>
      </c>
      <c r="M371" s="1" t="s">
        <v>735</v>
      </c>
      <c r="N371" s="1" t="s">
        <v>4703</v>
      </c>
      <c r="O371" s="1" t="s">
        <v>223</v>
      </c>
      <c r="P371" s="1">
        <v>1031.0</v>
      </c>
      <c r="Q371" s="1" t="s">
        <v>735</v>
      </c>
      <c r="R371" s="1" t="s">
        <v>4702</v>
      </c>
      <c r="S371" s="1" t="s">
        <v>31</v>
      </c>
      <c r="T371" s="1" t="s">
        <v>73</v>
      </c>
      <c r="U371" s="1" t="s">
        <v>71</v>
      </c>
      <c r="V371" s="1" t="s">
        <v>72</v>
      </c>
      <c r="W371" s="1" t="s">
        <v>31</v>
      </c>
      <c r="X371" s="1" t="s">
        <v>735</v>
      </c>
      <c r="Y371" s="1" t="s">
        <v>4703</v>
      </c>
      <c r="Z371" s="1" t="s">
        <v>51</v>
      </c>
      <c r="AA371" s="1" t="s">
        <v>31</v>
      </c>
      <c r="AB371" s="1" t="s">
        <v>31</v>
      </c>
      <c r="AC371" s="1" t="s">
        <v>227</v>
      </c>
      <c r="AD371" s="1" t="s">
        <v>31</v>
      </c>
      <c r="AE371" s="5"/>
    </row>
    <row r="372" ht="14.25" customHeight="1">
      <c r="A372" s="1" t="s">
        <v>33</v>
      </c>
      <c r="B372" s="1">
        <v>1.1000564E7</v>
      </c>
      <c r="C372" s="1" t="str">
        <f>VLOOKUP(B372,Equipment!A$1:J$575,9,0)</f>
        <v>E</v>
      </c>
      <c r="D372" s="1" t="s">
        <v>4704</v>
      </c>
      <c r="E372" s="1" t="s">
        <v>4705</v>
      </c>
      <c r="F372" s="1" t="s">
        <v>1243</v>
      </c>
      <c r="G372" s="1" t="s">
        <v>4706</v>
      </c>
      <c r="H372" s="1" t="s">
        <v>735</v>
      </c>
      <c r="I372" s="1" t="s">
        <v>1608</v>
      </c>
      <c r="J372" s="1" t="s">
        <v>4707</v>
      </c>
      <c r="K372" s="1" t="s">
        <v>4708</v>
      </c>
      <c r="L372" s="1">
        <v>1.0</v>
      </c>
      <c r="M372" s="1" t="s">
        <v>735</v>
      </c>
      <c r="N372" s="1" t="s">
        <v>4709</v>
      </c>
      <c r="O372" s="1" t="s">
        <v>223</v>
      </c>
      <c r="P372" s="1">
        <v>1031.0</v>
      </c>
      <c r="Q372" s="1" t="s">
        <v>1608</v>
      </c>
      <c r="R372" s="1" t="s">
        <v>4708</v>
      </c>
      <c r="S372" s="1" t="s">
        <v>31</v>
      </c>
      <c r="T372" s="1" t="s">
        <v>73</v>
      </c>
      <c r="U372" s="1" t="s">
        <v>71</v>
      </c>
      <c r="V372" s="1" t="s">
        <v>72</v>
      </c>
      <c r="W372" s="1" t="s">
        <v>31</v>
      </c>
      <c r="X372" s="1" t="s">
        <v>735</v>
      </c>
      <c r="Y372" s="1" t="s">
        <v>4709</v>
      </c>
      <c r="Z372" s="1" t="s">
        <v>51</v>
      </c>
      <c r="AA372" s="1" t="s">
        <v>31</v>
      </c>
      <c r="AB372" s="1" t="s">
        <v>31</v>
      </c>
      <c r="AC372" s="1" t="s">
        <v>227</v>
      </c>
      <c r="AD372" s="1" t="s">
        <v>31</v>
      </c>
      <c r="AE372" s="5"/>
    </row>
    <row r="373" ht="14.25" customHeight="1">
      <c r="A373" s="1" t="s">
        <v>33</v>
      </c>
      <c r="B373" s="1">
        <v>1.1000378E7</v>
      </c>
      <c r="C373" s="1" t="str">
        <f>VLOOKUP(B373,Equipment!A$1:J$575,9,0)</f>
        <v>E</v>
      </c>
      <c r="D373" s="1" t="s">
        <v>31</v>
      </c>
      <c r="E373" s="1" t="s">
        <v>4710</v>
      </c>
      <c r="F373" s="1" t="s">
        <v>833</v>
      </c>
      <c r="G373" s="1" t="s">
        <v>4711</v>
      </c>
      <c r="H373" s="1" t="s">
        <v>735</v>
      </c>
      <c r="I373" s="1" t="s">
        <v>31</v>
      </c>
      <c r="J373" s="1" t="s">
        <v>4712</v>
      </c>
      <c r="K373" s="1" t="s">
        <v>73</v>
      </c>
      <c r="L373" s="1">
        <v>0.0</v>
      </c>
      <c r="M373" s="1" t="s">
        <v>735</v>
      </c>
      <c r="N373" s="1" t="s">
        <v>4712</v>
      </c>
      <c r="O373" s="1" t="s">
        <v>68</v>
      </c>
      <c r="P373" s="1">
        <v>1041.0</v>
      </c>
      <c r="Q373" s="1" t="s">
        <v>735</v>
      </c>
      <c r="R373" s="1" t="s">
        <v>4713</v>
      </c>
      <c r="S373" s="1" t="s">
        <v>31</v>
      </c>
      <c r="T373" s="1" t="s">
        <v>73</v>
      </c>
      <c r="U373" s="1" t="s">
        <v>71</v>
      </c>
      <c r="V373" s="1" t="s">
        <v>72</v>
      </c>
      <c r="W373" s="1" t="s">
        <v>31</v>
      </c>
      <c r="X373" s="1" t="s">
        <v>735</v>
      </c>
      <c r="Y373" s="1" t="s">
        <v>4714</v>
      </c>
      <c r="Z373" s="1" t="s">
        <v>51</v>
      </c>
      <c r="AA373" s="1" t="s">
        <v>31</v>
      </c>
      <c r="AB373" s="1" t="s">
        <v>31</v>
      </c>
      <c r="AC373" s="1" t="s">
        <v>74</v>
      </c>
      <c r="AD373" s="1" t="s">
        <v>31</v>
      </c>
      <c r="AE373" s="5"/>
    </row>
    <row r="374" ht="14.25" customHeight="1">
      <c r="A374" s="1" t="s">
        <v>33</v>
      </c>
      <c r="B374" s="1">
        <v>1.1000383E7</v>
      </c>
      <c r="C374" s="1" t="str">
        <f>VLOOKUP(B374,Equipment!A$1:J$575,9,0)</f>
        <v>E</v>
      </c>
      <c r="D374" s="1" t="s">
        <v>4715</v>
      </c>
      <c r="E374" s="1" t="s">
        <v>4716</v>
      </c>
      <c r="F374" s="1" t="s">
        <v>861</v>
      </c>
      <c r="G374" s="1" t="s">
        <v>4717</v>
      </c>
      <c r="H374" s="1" t="s">
        <v>735</v>
      </c>
      <c r="I374" s="1" t="s">
        <v>1401</v>
      </c>
      <c r="J374" s="1" t="s">
        <v>2142</v>
      </c>
      <c r="K374" s="1" t="s">
        <v>4718</v>
      </c>
      <c r="L374" s="1">
        <v>0.5</v>
      </c>
      <c r="M374" s="1" t="s">
        <v>735</v>
      </c>
      <c r="N374" s="1" t="s">
        <v>4719</v>
      </c>
      <c r="O374" s="1" t="s">
        <v>68</v>
      </c>
      <c r="P374" s="1">
        <v>1041.0</v>
      </c>
      <c r="Q374" s="1" t="s">
        <v>1401</v>
      </c>
      <c r="R374" s="1" t="s">
        <v>4718</v>
      </c>
      <c r="S374" s="1" t="s">
        <v>1260</v>
      </c>
      <c r="T374" s="1" t="s">
        <v>4720</v>
      </c>
      <c r="U374" s="1" t="s">
        <v>71</v>
      </c>
      <c r="V374" s="1" t="s">
        <v>72</v>
      </c>
      <c r="W374" s="1" t="s">
        <v>31</v>
      </c>
      <c r="X374" s="1" t="s">
        <v>735</v>
      </c>
      <c r="Y374" s="1" t="s">
        <v>4720</v>
      </c>
      <c r="Z374" s="1" t="s">
        <v>51</v>
      </c>
      <c r="AA374" s="1" t="s">
        <v>31</v>
      </c>
      <c r="AB374" s="1" t="s">
        <v>31</v>
      </c>
      <c r="AC374" s="1" t="s">
        <v>74</v>
      </c>
      <c r="AD374" s="1" t="s">
        <v>31</v>
      </c>
      <c r="AE374" s="5"/>
    </row>
    <row r="375" ht="14.25" customHeight="1">
      <c r="A375" s="1" t="s">
        <v>33</v>
      </c>
      <c r="B375" s="1">
        <v>1.1000388E7</v>
      </c>
      <c r="C375" s="1" t="str">
        <f>VLOOKUP(B375,Equipment!A$1:J$575,9,0)</f>
        <v>#N/A</v>
      </c>
      <c r="D375" s="1" t="s">
        <v>4721</v>
      </c>
      <c r="E375" s="1" t="s">
        <v>4722</v>
      </c>
      <c r="F375" s="1" t="s">
        <v>269</v>
      </c>
      <c r="G375" s="1" t="s">
        <v>4723</v>
      </c>
      <c r="H375" s="1" t="s">
        <v>735</v>
      </c>
      <c r="I375" s="1" t="s">
        <v>90</v>
      </c>
      <c r="J375" s="1" t="s">
        <v>482</v>
      </c>
      <c r="K375" s="1" t="s">
        <v>4724</v>
      </c>
      <c r="L375" s="1">
        <v>1.0</v>
      </c>
      <c r="M375" s="1" t="s">
        <v>735</v>
      </c>
      <c r="N375" s="1" t="s">
        <v>4725</v>
      </c>
      <c r="O375" s="1" t="s">
        <v>68</v>
      </c>
      <c r="P375" s="1">
        <v>1041.0</v>
      </c>
      <c r="Q375" s="1" t="s">
        <v>963</v>
      </c>
      <c r="R375" s="1" t="s">
        <v>4726</v>
      </c>
      <c r="S375" s="1" t="s">
        <v>1260</v>
      </c>
      <c r="T375" s="1" t="s">
        <v>4727</v>
      </c>
      <c r="U375" s="1" t="s">
        <v>71</v>
      </c>
      <c r="V375" s="1" t="s">
        <v>72</v>
      </c>
      <c r="W375" s="1" t="s">
        <v>31</v>
      </c>
      <c r="X375" s="1" t="s">
        <v>31</v>
      </c>
      <c r="Y375" s="1" t="s">
        <v>73</v>
      </c>
      <c r="Z375" s="1" t="s">
        <v>51</v>
      </c>
      <c r="AA375" s="1" t="s">
        <v>31</v>
      </c>
      <c r="AB375" s="1" t="s">
        <v>31</v>
      </c>
      <c r="AC375" s="1" t="s">
        <v>74</v>
      </c>
      <c r="AD375" s="1" t="s">
        <v>31</v>
      </c>
      <c r="AE375" s="5"/>
    </row>
    <row r="376" ht="14.25" customHeight="1">
      <c r="A376" s="1" t="s">
        <v>33</v>
      </c>
      <c r="B376" s="1">
        <v>1.1000388E7</v>
      </c>
      <c r="C376" s="1" t="str">
        <f>VLOOKUP(B376,Equipment!A$1:J$575,9,0)</f>
        <v>#N/A</v>
      </c>
      <c r="D376" s="1" t="s">
        <v>4728</v>
      </c>
      <c r="E376" s="1" t="s">
        <v>4729</v>
      </c>
      <c r="F376" s="1" t="s">
        <v>269</v>
      </c>
      <c r="G376" s="1" t="s">
        <v>4723</v>
      </c>
      <c r="H376" s="1" t="s">
        <v>735</v>
      </c>
      <c r="I376" s="1" t="s">
        <v>90</v>
      </c>
      <c r="J376" s="1" t="s">
        <v>482</v>
      </c>
      <c r="K376" s="1" t="s">
        <v>4730</v>
      </c>
      <c r="L376" s="1">
        <v>1.0</v>
      </c>
      <c r="M376" s="1" t="s">
        <v>735</v>
      </c>
      <c r="N376" s="1" t="s">
        <v>4731</v>
      </c>
      <c r="O376" s="1" t="s">
        <v>68</v>
      </c>
      <c r="P376" s="1">
        <v>1041.0</v>
      </c>
      <c r="Q376" s="1" t="s">
        <v>963</v>
      </c>
      <c r="R376" s="1" t="s">
        <v>4732</v>
      </c>
      <c r="S376" s="1" t="s">
        <v>1260</v>
      </c>
      <c r="T376" s="1" t="s">
        <v>4733</v>
      </c>
      <c r="U376" s="1" t="s">
        <v>71</v>
      </c>
      <c r="V376" s="1" t="s">
        <v>72</v>
      </c>
      <c r="W376" s="1" t="s">
        <v>31</v>
      </c>
      <c r="X376" s="1" t="s">
        <v>31</v>
      </c>
      <c r="Y376" s="1" t="s">
        <v>73</v>
      </c>
      <c r="Z376" s="1" t="s">
        <v>51</v>
      </c>
      <c r="AA376" s="1" t="s">
        <v>31</v>
      </c>
      <c r="AB376" s="1" t="s">
        <v>31</v>
      </c>
      <c r="AC376" s="1" t="s">
        <v>74</v>
      </c>
      <c r="AD376" s="1" t="s">
        <v>31</v>
      </c>
      <c r="AE376" s="5"/>
    </row>
    <row r="377" ht="14.25" customHeight="1">
      <c r="A377" s="1" t="s">
        <v>33</v>
      </c>
      <c r="B377" s="1">
        <v>1.1000389E7</v>
      </c>
      <c r="C377" s="1" t="str">
        <f>VLOOKUP(B377,Equipment!A$1:J$575,9,0)</f>
        <v>E</v>
      </c>
      <c r="D377" s="1" t="s">
        <v>4734</v>
      </c>
      <c r="E377" s="1" t="s">
        <v>4735</v>
      </c>
      <c r="F377" s="1" t="s">
        <v>60</v>
      </c>
      <c r="G377" s="1" t="s">
        <v>4736</v>
      </c>
      <c r="H377" s="1" t="s">
        <v>735</v>
      </c>
      <c r="I377" s="1" t="s">
        <v>2172</v>
      </c>
      <c r="J377" s="1" t="s">
        <v>4737</v>
      </c>
      <c r="K377" s="1" t="s">
        <v>4738</v>
      </c>
      <c r="L377" s="1">
        <v>0.44</v>
      </c>
      <c r="M377" s="1" t="s">
        <v>735</v>
      </c>
      <c r="N377" s="1" t="s">
        <v>4739</v>
      </c>
      <c r="O377" s="1" t="s">
        <v>68</v>
      </c>
      <c r="P377" s="1">
        <v>1041.0</v>
      </c>
      <c r="Q377" s="1" t="s">
        <v>2172</v>
      </c>
      <c r="R377" s="1" t="s">
        <v>4738</v>
      </c>
      <c r="S377" s="1" t="s">
        <v>1260</v>
      </c>
      <c r="T377" s="1" t="s">
        <v>4740</v>
      </c>
      <c r="U377" s="1" t="s">
        <v>71</v>
      </c>
      <c r="V377" s="1" t="s">
        <v>72</v>
      </c>
      <c r="W377" s="1" t="s">
        <v>31</v>
      </c>
      <c r="X377" s="1" t="s">
        <v>735</v>
      </c>
      <c r="Y377" s="1" t="s">
        <v>4740</v>
      </c>
      <c r="Z377" s="1" t="s">
        <v>51</v>
      </c>
      <c r="AA377" s="1" t="s">
        <v>31</v>
      </c>
      <c r="AB377" s="1" t="s">
        <v>31</v>
      </c>
      <c r="AC377" s="1" t="s">
        <v>74</v>
      </c>
      <c r="AD377" s="1" t="s">
        <v>31</v>
      </c>
      <c r="AE377" s="5"/>
    </row>
    <row r="378" ht="14.25" customHeight="1">
      <c r="A378" s="1" t="s">
        <v>33</v>
      </c>
      <c r="B378" s="1">
        <v>1.1000389E7</v>
      </c>
      <c r="C378" s="1" t="str">
        <f>VLOOKUP(B378,Equipment!A$1:J$575,9,0)</f>
        <v>E</v>
      </c>
      <c r="D378" s="1" t="s">
        <v>4741</v>
      </c>
      <c r="E378" s="1" t="s">
        <v>4742</v>
      </c>
      <c r="F378" s="1" t="s">
        <v>60</v>
      </c>
      <c r="G378" s="1" t="s">
        <v>4743</v>
      </c>
      <c r="H378" s="1" t="s">
        <v>735</v>
      </c>
      <c r="I378" s="1" t="s">
        <v>2172</v>
      </c>
      <c r="J378" s="1" t="s">
        <v>4744</v>
      </c>
      <c r="K378" s="1" t="s">
        <v>4745</v>
      </c>
      <c r="L378" s="1">
        <v>0.41</v>
      </c>
      <c r="M378" s="1" t="s">
        <v>735</v>
      </c>
      <c r="N378" s="1" t="s">
        <v>4744</v>
      </c>
      <c r="O378" s="1" t="s">
        <v>68</v>
      </c>
      <c r="P378" s="1">
        <v>1041.0</v>
      </c>
      <c r="Q378" s="1" t="s">
        <v>2172</v>
      </c>
      <c r="R378" s="1" t="s">
        <v>4745</v>
      </c>
      <c r="S378" s="1" t="s">
        <v>1260</v>
      </c>
      <c r="T378" s="1" t="s">
        <v>4746</v>
      </c>
      <c r="U378" s="1" t="s">
        <v>71</v>
      </c>
      <c r="V378" s="1" t="s">
        <v>72</v>
      </c>
      <c r="W378" s="1" t="s">
        <v>31</v>
      </c>
      <c r="X378" s="1" t="s">
        <v>31</v>
      </c>
      <c r="Y378" s="1" t="s">
        <v>73</v>
      </c>
      <c r="Z378" s="1" t="s">
        <v>51</v>
      </c>
      <c r="AA378" s="1" t="s">
        <v>31</v>
      </c>
      <c r="AB378" s="1" t="s">
        <v>31</v>
      </c>
      <c r="AC378" s="1" t="s">
        <v>74</v>
      </c>
      <c r="AD378" s="1" t="s">
        <v>31</v>
      </c>
      <c r="AE378" s="5"/>
    </row>
    <row r="379" ht="14.25" customHeight="1">
      <c r="A379" s="1" t="s">
        <v>33</v>
      </c>
      <c r="B379" s="1">
        <v>1.1000389E7</v>
      </c>
      <c r="C379" s="1" t="str">
        <f>VLOOKUP(B379,Equipment!A$1:J$575,9,0)</f>
        <v>E</v>
      </c>
      <c r="D379" s="1" t="s">
        <v>4747</v>
      </c>
      <c r="E379" s="1" t="s">
        <v>4748</v>
      </c>
      <c r="F379" s="1" t="s">
        <v>60</v>
      </c>
      <c r="G379" s="1" t="s">
        <v>4749</v>
      </c>
      <c r="H379" s="1" t="s">
        <v>735</v>
      </c>
      <c r="I379" s="1" t="s">
        <v>2172</v>
      </c>
      <c r="J379" s="1" t="s">
        <v>4750</v>
      </c>
      <c r="K379" s="1" t="s">
        <v>4751</v>
      </c>
      <c r="L379" s="1">
        <v>0.41</v>
      </c>
      <c r="M379" s="1" t="s">
        <v>735</v>
      </c>
      <c r="N379" s="1" t="s">
        <v>4752</v>
      </c>
      <c r="O379" s="1" t="s">
        <v>68</v>
      </c>
      <c r="P379" s="1">
        <v>1041.0</v>
      </c>
      <c r="Q379" s="1" t="s">
        <v>2172</v>
      </c>
      <c r="R379" s="1" t="s">
        <v>4751</v>
      </c>
      <c r="S379" s="1" t="s">
        <v>1260</v>
      </c>
      <c r="T379" s="1" t="s">
        <v>4753</v>
      </c>
      <c r="U379" s="1" t="s">
        <v>71</v>
      </c>
      <c r="V379" s="1" t="s">
        <v>72</v>
      </c>
      <c r="W379" s="1" t="s">
        <v>31</v>
      </c>
      <c r="X379" s="1" t="s">
        <v>735</v>
      </c>
      <c r="Y379" s="1" t="s">
        <v>4753</v>
      </c>
      <c r="Z379" s="1" t="s">
        <v>51</v>
      </c>
      <c r="AA379" s="1" t="s">
        <v>31</v>
      </c>
      <c r="AB379" s="1" t="s">
        <v>31</v>
      </c>
      <c r="AC379" s="1" t="s">
        <v>74</v>
      </c>
      <c r="AD379" s="1" t="s">
        <v>31</v>
      </c>
      <c r="AE379" s="5"/>
    </row>
    <row r="380" ht="14.25" customHeight="1">
      <c r="A380" s="1" t="s">
        <v>33</v>
      </c>
      <c r="B380" s="1">
        <v>1.1000454E7</v>
      </c>
      <c r="C380" s="1" t="str">
        <f>VLOOKUP(B380,Equipment!A$1:J$575,9,0)</f>
        <v>E</v>
      </c>
      <c r="D380" s="1" t="s">
        <v>4754</v>
      </c>
      <c r="E380" s="1" t="s">
        <v>4755</v>
      </c>
      <c r="F380" s="1" t="s">
        <v>294</v>
      </c>
      <c r="G380" s="1" t="s">
        <v>4756</v>
      </c>
      <c r="H380" s="1" t="s">
        <v>735</v>
      </c>
      <c r="I380" s="1" t="s">
        <v>963</v>
      </c>
      <c r="J380" s="1" t="s">
        <v>309</v>
      </c>
      <c r="K380" s="1" t="s">
        <v>4757</v>
      </c>
      <c r="L380" s="1">
        <v>2.0</v>
      </c>
      <c r="M380" s="1" t="s">
        <v>735</v>
      </c>
      <c r="N380" s="1" t="s">
        <v>4758</v>
      </c>
      <c r="O380" s="1" t="s">
        <v>68</v>
      </c>
      <c r="P380" s="1">
        <v>1041.0</v>
      </c>
      <c r="Q380" s="1" t="s">
        <v>963</v>
      </c>
      <c r="R380" s="1" t="s">
        <v>4757</v>
      </c>
      <c r="S380" s="1" t="s">
        <v>963</v>
      </c>
      <c r="T380" s="1" t="s">
        <v>4759</v>
      </c>
      <c r="U380" s="1" t="s">
        <v>71</v>
      </c>
      <c r="V380" s="1" t="s">
        <v>72</v>
      </c>
      <c r="W380" s="1" t="s">
        <v>31</v>
      </c>
      <c r="X380" s="1" t="s">
        <v>735</v>
      </c>
      <c r="Y380" s="1" t="s">
        <v>4759</v>
      </c>
      <c r="Z380" s="1" t="s">
        <v>51</v>
      </c>
      <c r="AA380" s="1" t="s">
        <v>31</v>
      </c>
      <c r="AB380" s="1" t="s">
        <v>31</v>
      </c>
      <c r="AC380" s="1" t="s">
        <v>74</v>
      </c>
      <c r="AD380" s="1" t="s">
        <v>31</v>
      </c>
      <c r="AE380" s="5"/>
    </row>
    <row r="381" ht="14.25" customHeight="1">
      <c r="A381" s="1" t="s">
        <v>33</v>
      </c>
      <c r="B381" s="1">
        <v>1.1000485E7</v>
      </c>
      <c r="C381" s="1" t="str">
        <f>VLOOKUP(B381,Equipment!A$1:J$575,9,0)</f>
        <v>E</v>
      </c>
      <c r="D381" s="1" t="s">
        <v>4760</v>
      </c>
      <c r="E381" s="1" t="s">
        <v>4761</v>
      </c>
      <c r="F381" s="1" t="s">
        <v>849</v>
      </c>
      <c r="G381" s="1" t="s">
        <v>4762</v>
      </c>
      <c r="H381" s="1" t="s">
        <v>735</v>
      </c>
      <c r="I381" s="1" t="s">
        <v>2172</v>
      </c>
      <c r="J381" s="1" t="s">
        <v>4763</v>
      </c>
      <c r="K381" s="1" t="s">
        <v>4764</v>
      </c>
      <c r="L381" s="1">
        <v>0.66</v>
      </c>
      <c r="M381" s="1" t="s">
        <v>735</v>
      </c>
      <c r="N381" s="1" t="s">
        <v>4763</v>
      </c>
      <c r="O381" s="1" t="s">
        <v>68</v>
      </c>
      <c r="P381" s="1">
        <v>1041.0</v>
      </c>
      <c r="Q381" s="1" t="s">
        <v>2172</v>
      </c>
      <c r="R381" s="1" t="s">
        <v>4764</v>
      </c>
      <c r="S381" s="1" t="s">
        <v>963</v>
      </c>
      <c r="T381" s="1" t="s">
        <v>4765</v>
      </c>
      <c r="U381" s="1" t="s">
        <v>71</v>
      </c>
      <c r="V381" s="1" t="s">
        <v>72</v>
      </c>
      <c r="W381" s="1" t="s">
        <v>31</v>
      </c>
      <c r="X381" s="1" t="s">
        <v>31</v>
      </c>
      <c r="Y381" s="1" t="s">
        <v>73</v>
      </c>
      <c r="Z381" s="1" t="s">
        <v>51</v>
      </c>
      <c r="AA381" s="1" t="s">
        <v>31</v>
      </c>
      <c r="AB381" s="1" t="s">
        <v>31</v>
      </c>
      <c r="AC381" s="1" t="s">
        <v>74</v>
      </c>
      <c r="AD381" s="1" t="s">
        <v>31</v>
      </c>
      <c r="AE381" s="5"/>
    </row>
    <row r="382" ht="14.25" customHeight="1">
      <c r="A382" s="1" t="s">
        <v>33</v>
      </c>
      <c r="B382" s="1">
        <v>1.1000511E7</v>
      </c>
      <c r="C382" s="1" t="str">
        <f>VLOOKUP(B382,Equipment!A$1:J$575,9,0)</f>
        <v>E</v>
      </c>
      <c r="D382" s="1" t="s">
        <v>31</v>
      </c>
      <c r="E382" s="1" t="s">
        <v>4766</v>
      </c>
      <c r="F382" s="1" t="s">
        <v>1095</v>
      </c>
      <c r="G382" s="1" t="s">
        <v>4767</v>
      </c>
      <c r="H382" s="1" t="s">
        <v>735</v>
      </c>
      <c r="I382" s="1" t="s">
        <v>31</v>
      </c>
      <c r="J382" s="1" t="s">
        <v>4768</v>
      </c>
      <c r="K382" s="1" t="s">
        <v>73</v>
      </c>
      <c r="L382" s="1">
        <v>0.0</v>
      </c>
      <c r="M382" s="1" t="s">
        <v>735</v>
      </c>
      <c r="N382" s="1" t="s">
        <v>4768</v>
      </c>
      <c r="O382" s="1" t="s">
        <v>121</v>
      </c>
      <c r="P382" s="1">
        <v>1041.0</v>
      </c>
      <c r="Q382" s="1" t="s">
        <v>735</v>
      </c>
      <c r="R382" s="1" t="s">
        <v>4769</v>
      </c>
      <c r="S382" s="1" t="s">
        <v>963</v>
      </c>
      <c r="T382" s="1" t="s">
        <v>4770</v>
      </c>
      <c r="U382" s="1" t="s">
        <v>71</v>
      </c>
      <c r="V382" s="1" t="s">
        <v>31</v>
      </c>
      <c r="W382" s="1" t="s">
        <v>31</v>
      </c>
      <c r="X382" s="1" t="s">
        <v>735</v>
      </c>
      <c r="Y382" s="1" t="s">
        <v>4770</v>
      </c>
      <c r="Z382" s="1" t="s">
        <v>51</v>
      </c>
      <c r="AA382" s="1" t="s">
        <v>31</v>
      </c>
      <c r="AB382" s="1" t="s">
        <v>31</v>
      </c>
      <c r="AC382" s="1" t="s">
        <v>656</v>
      </c>
      <c r="AD382" s="1" t="s">
        <v>31</v>
      </c>
      <c r="AE382" s="5"/>
    </row>
    <row r="383" ht="14.25" customHeight="1">
      <c r="A383" s="1" t="s">
        <v>33</v>
      </c>
      <c r="B383" s="1">
        <v>1.1000511E7</v>
      </c>
      <c r="C383" s="1" t="str">
        <f>VLOOKUP(B383,Equipment!A$1:J$575,9,0)</f>
        <v>E</v>
      </c>
      <c r="D383" s="1" t="s">
        <v>31</v>
      </c>
      <c r="E383" s="1" t="s">
        <v>4771</v>
      </c>
      <c r="F383" s="1" t="s">
        <v>1095</v>
      </c>
      <c r="G383" s="1" t="s">
        <v>4772</v>
      </c>
      <c r="H383" s="1" t="s">
        <v>735</v>
      </c>
      <c r="I383" s="1" t="s">
        <v>31</v>
      </c>
      <c r="J383" s="1" t="s">
        <v>4773</v>
      </c>
      <c r="K383" s="1" t="s">
        <v>73</v>
      </c>
      <c r="L383" s="1">
        <v>0.0</v>
      </c>
      <c r="M383" s="1" t="s">
        <v>735</v>
      </c>
      <c r="N383" s="1" t="s">
        <v>4773</v>
      </c>
      <c r="O383" s="1" t="s">
        <v>121</v>
      </c>
      <c r="P383" s="1">
        <v>1041.0</v>
      </c>
      <c r="Q383" s="1" t="s">
        <v>735</v>
      </c>
      <c r="R383" s="1" t="s">
        <v>3908</v>
      </c>
      <c r="S383" s="1" t="s">
        <v>963</v>
      </c>
      <c r="T383" s="1" t="s">
        <v>4774</v>
      </c>
      <c r="U383" s="1" t="s">
        <v>71</v>
      </c>
      <c r="V383" s="1" t="s">
        <v>72</v>
      </c>
      <c r="W383" s="1" t="s">
        <v>31</v>
      </c>
      <c r="X383" s="1" t="s">
        <v>31</v>
      </c>
      <c r="Y383" s="1" t="s">
        <v>73</v>
      </c>
      <c r="Z383" s="1" t="s">
        <v>51</v>
      </c>
      <c r="AA383" s="1" t="s">
        <v>31</v>
      </c>
      <c r="AB383" s="1" t="s">
        <v>31</v>
      </c>
      <c r="AC383" s="1" t="s">
        <v>656</v>
      </c>
      <c r="AD383" s="1" t="s">
        <v>31</v>
      </c>
      <c r="AE383" s="5"/>
    </row>
    <row r="384" ht="14.25" customHeight="1">
      <c r="A384" s="1" t="s">
        <v>33</v>
      </c>
      <c r="B384" s="1">
        <v>1.1000767E7</v>
      </c>
      <c r="C384" s="1" t="str">
        <f>VLOOKUP(B384,Equipment!A$1:J$575,9,0)</f>
        <v>#N/A</v>
      </c>
      <c r="D384" s="1" t="s">
        <v>31</v>
      </c>
      <c r="E384" s="1" t="s">
        <v>4775</v>
      </c>
      <c r="F384" s="1" t="s">
        <v>3200</v>
      </c>
      <c r="G384" s="1" t="s">
        <v>4776</v>
      </c>
      <c r="H384" s="1" t="s">
        <v>735</v>
      </c>
      <c r="I384" s="1" t="s">
        <v>31</v>
      </c>
      <c r="J384" s="1" t="s">
        <v>4777</v>
      </c>
      <c r="K384" s="1" t="s">
        <v>73</v>
      </c>
      <c r="L384" s="1">
        <v>0.0</v>
      </c>
      <c r="M384" s="1" t="s">
        <v>735</v>
      </c>
      <c r="N384" s="1" t="s">
        <v>4777</v>
      </c>
      <c r="O384" s="1" t="s">
        <v>3204</v>
      </c>
      <c r="P384" s="1">
        <v>1041.0</v>
      </c>
      <c r="Q384" s="1" t="s">
        <v>735</v>
      </c>
      <c r="R384" s="1" t="s">
        <v>4778</v>
      </c>
      <c r="S384" s="1" t="s">
        <v>31</v>
      </c>
      <c r="T384" s="1" t="s">
        <v>73</v>
      </c>
      <c r="U384" s="1" t="s">
        <v>71</v>
      </c>
      <c r="V384" s="1" t="s">
        <v>72</v>
      </c>
      <c r="W384" s="1" t="s">
        <v>31</v>
      </c>
      <c r="X384" s="1" t="s">
        <v>735</v>
      </c>
      <c r="Y384" s="1" t="s">
        <v>4777</v>
      </c>
      <c r="Z384" s="1" t="s">
        <v>51</v>
      </c>
      <c r="AA384" s="1" t="s">
        <v>31</v>
      </c>
      <c r="AB384" s="1" t="s">
        <v>31</v>
      </c>
      <c r="AC384" s="1" t="s">
        <v>3208</v>
      </c>
      <c r="AD384" s="1" t="s">
        <v>31</v>
      </c>
      <c r="AE384" s="5"/>
    </row>
    <row r="385" ht="14.25" customHeight="1">
      <c r="A385" s="1" t="s">
        <v>33</v>
      </c>
      <c r="B385" s="1">
        <v>1.1001303E7</v>
      </c>
      <c r="C385" s="1" t="str">
        <f>VLOOKUP(B385,Equipment!A$1:J$575,9,0)</f>
        <v>E</v>
      </c>
      <c r="D385" s="1" t="s">
        <v>4779</v>
      </c>
      <c r="E385" s="1" t="s">
        <v>4780</v>
      </c>
      <c r="F385" s="1" t="s">
        <v>649</v>
      </c>
      <c r="G385" s="1" t="s">
        <v>4781</v>
      </c>
      <c r="H385" s="1" t="s">
        <v>735</v>
      </c>
      <c r="I385" s="1" t="s">
        <v>4410</v>
      </c>
      <c r="J385" s="1" t="s">
        <v>3553</v>
      </c>
      <c r="K385" s="1" t="s">
        <v>4782</v>
      </c>
      <c r="L385" s="1">
        <v>1.42</v>
      </c>
      <c r="M385" s="1" t="s">
        <v>735</v>
      </c>
      <c r="N385" s="1" t="s">
        <v>4783</v>
      </c>
      <c r="O385" s="1" t="s">
        <v>121</v>
      </c>
      <c r="P385" s="1">
        <v>1041.0</v>
      </c>
      <c r="Q385" s="1" t="s">
        <v>1401</v>
      </c>
      <c r="R385" s="1" t="s">
        <v>4784</v>
      </c>
      <c r="S385" s="1" t="s">
        <v>963</v>
      </c>
      <c r="T385" s="1" t="s">
        <v>4785</v>
      </c>
      <c r="U385" s="1" t="s">
        <v>71</v>
      </c>
      <c r="V385" s="1" t="s">
        <v>72</v>
      </c>
      <c r="W385" s="1" t="s">
        <v>31</v>
      </c>
      <c r="X385" s="1" t="s">
        <v>735</v>
      </c>
      <c r="Y385" s="1" t="s">
        <v>4785</v>
      </c>
      <c r="Z385" s="1" t="s">
        <v>51</v>
      </c>
      <c r="AA385" s="1" t="s">
        <v>31</v>
      </c>
      <c r="AB385" s="1" t="s">
        <v>31</v>
      </c>
      <c r="AC385" s="1" t="s">
        <v>656</v>
      </c>
      <c r="AD385" s="1" t="s">
        <v>31</v>
      </c>
      <c r="AE385" s="5"/>
    </row>
    <row r="386" ht="14.25" customHeight="1">
      <c r="A386" s="1" t="s">
        <v>33</v>
      </c>
      <c r="B386" s="1">
        <v>1.1001303E7</v>
      </c>
      <c r="C386" s="1" t="str">
        <f>VLOOKUP(B386,Equipment!A$1:J$575,9,0)</f>
        <v>E</v>
      </c>
      <c r="D386" s="1" t="s">
        <v>4786</v>
      </c>
      <c r="E386" s="1" t="s">
        <v>4787</v>
      </c>
      <c r="F386" s="1" t="s">
        <v>649</v>
      </c>
      <c r="G386" s="1" t="s">
        <v>4788</v>
      </c>
      <c r="H386" s="1" t="s">
        <v>735</v>
      </c>
      <c r="I386" s="1" t="s">
        <v>1328</v>
      </c>
      <c r="J386" s="1" t="s">
        <v>836</v>
      </c>
      <c r="K386" s="1" t="s">
        <v>4789</v>
      </c>
      <c r="L386" s="1">
        <v>0.67</v>
      </c>
      <c r="M386" s="1" t="s">
        <v>735</v>
      </c>
      <c r="N386" s="1" t="s">
        <v>4790</v>
      </c>
      <c r="O386" s="1" t="s">
        <v>121</v>
      </c>
      <c r="P386" s="1">
        <v>1041.0</v>
      </c>
      <c r="Q386" s="1" t="s">
        <v>1328</v>
      </c>
      <c r="R386" s="1" t="s">
        <v>4789</v>
      </c>
      <c r="S386" s="1" t="s">
        <v>963</v>
      </c>
      <c r="T386" s="1" t="s">
        <v>4791</v>
      </c>
      <c r="U386" s="1" t="s">
        <v>71</v>
      </c>
      <c r="V386" s="1" t="s">
        <v>72</v>
      </c>
      <c r="W386" s="1" t="s">
        <v>31</v>
      </c>
      <c r="X386" s="1" t="s">
        <v>31</v>
      </c>
      <c r="Y386" s="1" t="s">
        <v>73</v>
      </c>
      <c r="Z386" s="1" t="s">
        <v>51</v>
      </c>
      <c r="AA386" s="1" t="s">
        <v>31</v>
      </c>
      <c r="AB386" s="1" t="s">
        <v>31</v>
      </c>
      <c r="AC386" s="1" t="s">
        <v>656</v>
      </c>
      <c r="AD386" s="1" t="s">
        <v>31</v>
      </c>
      <c r="AE386" s="5"/>
    </row>
    <row r="387" ht="14.25" customHeight="1">
      <c r="A387" s="1" t="s">
        <v>33</v>
      </c>
      <c r="B387" s="1">
        <v>1.1000227E7</v>
      </c>
      <c r="C387" s="1" t="str">
        <f>VLOOKUP(B387,Equipment!A$1:J$575,9,0)</f>
        <v>E</v>
      </c>
      <c r="D387" s="1" t="s">
        <v>4792</v>
      </c>
      <c r="E387" s="1" t="s">
        <v>4793</v>
      </c>
      <c r="F387" s="1" t="s">
        <v>326</v>
      </c>
      <c r="G387" s="1" t="s">
        <v>4794</v>
      </c>
      <c r="H387" s="1" t="s">
        <v>735</v>
      </c>
      <c r="I387" s="1" t="s">
        <v>735</v>
      </c>
      <c r="J387" s="1" t="s">
        <v>3746</v>
      </c>
      <c r="K387" s="1" t="s">
        <v>2142</v>
      </c>
      <c r="L387" s="1">
        <v>3.5</v>
      </c>
      <c r="M387" s="1" t="s">
        <v>735</v>
      </c>
      <c r="N387" s="1" t="s">
        <v>3746</v>
      </c>
      <c r="O387" s="1" t="s">
        <v>121</v>
      </c>
      <c r="P387" s="1">
        <v>2001.0</v>
      </c>
      <c r="Q387" s="1" t="s">
        <v>1608</v>
      </c>
      <c r="R387" s="1" t="s">
        <v>4795</v>
      </c>
      <c r="S387" s="1" t="s">
        <v>31</v>
      </c>
      <c r="T387" s="1" t="s">
        <v>73</v>
      </c>
      <c r="U387" s="1" t="s">
        <v>71</v>
      </c>
      <c r="V387" s="1" t="s">
        <v>72</v>
      </c>
      <c r="W387" s="1" t="s">
        <v>31</v>
      </c>
      <c r="X387" s="1" t="s">
        <v>1401</v>
      </c>
      <c r="Y387" s="1" t="s">
        <v>4796</v>
      </c>
      <c r="Z387" s="1" t="s">
        <v>51</v>
      </c>
      <c r="AA387" s="1" t="s">
        <v>31</v>
      </c>
      <c r="AB387" s="1" t="s">
        <v>31</v>
      </c>
      <c r="AC387" s="1" t="s">
        <v>331</v>
      </c>
      <c r="AD387" s="1" t="s">
        <v>31</v>
      </c>
      <c r="AE387" s="5"/>
    </row>
    <row r="388" ht="14.25" customHeight="1">
      <c r="A388" s="1" t="s">
        <v>33</v>
      </c>
      <c r="B388" s="1">
        <v>1.1000255E7</v>
      </c>
      <c r="C388" s="1" t="str">
        <f>VLOOKUP(B388,Equipment!A$1:J$575,9,0)</f>
        <v>E</v>
      </c>
      <c r="D388" s="1" t="s">
        <v>4797</v>
      </c>
      <c r="E388" s="1" t="s">
        <v>4798</v>
      </c>
      <c r="F388" s="1" t="s">
        <v>517</v>
      </c>
      <c r="G388" s="1" t="s">
        <v>4799</v>
      </c>
      <c r="H388" s="1" t="s">
        <v>735</v>
      </c>
      <c r="I388" s="1" t="s">
        <v>1260</v>
      </c>
      <c r="J388" s="1" t="s">
        <v>1889</v>
      </c>
      <c r="K388" s="1" t="s">
        <v>4800</v>
      </c>
      <c r="L388" s="1">
        <v>1.0</v>
      </c>
      <c r="M388" s="1" t="s">
        <v>735</v>
      </c>
      <c r="N388" s="1" t="s">
        <v>4801</v>
      </c>
      <c r="O388" s="1" t="s">
        <v>131</v>
      </c>
      <c r="P388" s="1">
        <v>2001.0</v>
      </c>
      <c r="Q388" s="1" t="s">
        <v>1260</v>
      </c>
      <c r="R388" s="1" t="s">
        <v>4800</v>
      </c>
      <c r="S388" s="1" t="s">
        <v>31</v>
      </c>
      <c r="T388" s="1" t="s">
        <v>73</v>
      </c>
      <c r="U388" s="1" t="s">
        <v>71</v>
      </c>
      <c r="V388" s="1" t="s">
        <v>72</v>
      </c>
      <c r="W388" s="1" t="s">
        <v>31</v>
      </c>
      <c r="X388" s="1" t="s">
        <v>735</v>
      </c>
      <c r="Y388" s="1" t="s">
        <v>4801</v>
      </c>
      <c r="Z388" s="1" t="s">
        <v>51</v>
      </c>
      <c r="AA388" s="1" t="s">
        <v>31</v>
      </c>
      <c r="AB388" s="1" t="s">
        <v>31</v>
      </c>
      <c r="AC388" s="1" t="s">
        <v>137</v>
      </c>
      <c r="AD388" s="1" t="s">
        <v>31</v>
      </c>
      <c r="AE388" s="5"/>
    </row>
    <row r="389" ht="14.25" customHeight="1">
      <c r="A389" s="1" t="s">
        <v>33</v>
      </c>
      <c r="B389" s="1">
        <v>1.1000269E7</v>
      </c>
      <c r="C389" s="1" t="str">
        <f>VLOOKUP(B389,Equipment!A$1:J$575,9,0)</f>
        <v>E</v>
      </c>
      <c r="D389" s="1" t="s">
        <v>4802</v>
      </c>
      <c r="E389" s="1" t="s">
        <v>4803</v>
      </c>
      <c r="F389" s="1" t="s">
        <v>535</v>
      </c>
      <c r="G389" s="1" t="s">
        <v>4804</v>
      </c>
      <c r="H389" s="1" t="s">
        <v>735</v>
      </c>
      <c r="I389" s="1" t="s">
        <v>735</v>
      </c>
      <c r="J389" s="1" t="s">
        <v>4805</v>
      </c>
      <c r="K389" s="1" t="s">
        <v>4806</v>
      </c>
      <c r="L389" s="1">
        <v>1.33</v>
      </c>
      <c r="M389" s="1" t="s">
        <v>735</v>
      </c>
      <c r="N389" s="1" t="s">
        <v>4805</v>
      </c>
      <c r="O389" s="1" t="s">
        <v>491</v>
      </c>
      <c r="P389" s="1">
        <v>2001.0</v>
      </c>
      <c r="Q389" s="1" t="s">
        <v>1260</v>
      </c>
      <c r="R389" s="1" t="s">
        <v>4807</v>
      </c>
      <c r="S389" s="1" t="s">
        <v>31</v>
      </c>
      <c r="T389" s="1" t="s">
        <v>73</v>
      </c>
      <c r="U389" s="1" t="s">
        <v>71</v>
      </c>
      <c r="V389" s="1" t="s">
        <v>72</v>
      </c>
      <c r="W389" s="1" t="s">
        <v>31</v>
      </c>
      <c r="X389" s="1" t="s">
        <v>735</v>
      </c>
      <c r="Y389" s="1" t="s">
        <v>4805</v>
      </c>
      <c r="Z389" s="1" t="s">
        <v>51</v>
      </c>
      <c r="AA389" s="1" t="s">
        <v>31</v>
      </c>
      <c r="AB389" s="1" t="s">
        <v>31</v>
      </c>
      <c r="AC389" s="1" t="s">
        <v>496</v>
      </c>
      <c r="AD389" s="1" t="s">
        <v>31</v>
      </c>
      <c r="AE389" s="5"/>
    </row>
    <row r="390" ht="14.25" customHeight="1">
      <c r="A390" s="1" t="s">
        <v>33</v>
      </c>
      <c r="B390" s="1">
        <v>1.1000326E7</v>
      </c>
      <c r="C390" s="1" t="str">
        <f>VLOOKUP(B390,Equipment!A$1:J$575,9,0)</f>
        <v>E</v>
      </c>
      <c r="D390" s="1" t="s">
        <v>4808</v>
      </c>
      <c r="E390" s="1" t="s">
        <v>4809</v>
      </c>
      <c r="F390" s="1" t="s">
        <v>757</v>
      </c>
      <c r="G390" s="1" t="s">
        <v>4810</v>
      </c>
      <c r="H390" s="1" t="s">
        <v>735</v>
      </c>
      <c r="I390" s="1" t="s">
        <v>735</v>
      </c>
      <c r="J390" s="1" t="s">
        <v>341</v>
      </c>
      <c r="K390" s="1" t="s">
        <v>469</v>
      </c>
      <c r="L390" s="1">
        <v>1.5</v>
      </c>
      <c r="M390" s="1" t="s">
        <v>735</v>
      </c>
      <c r="N390" s="1" t="s">
        <v>341</v>
      </c>
      <c r="O390" s="1" t="s">
        <v>131</v>
      </c>
      <c r="P390" s="1">
        <v>2001.0</v>
      </c>
      <c r="Q390" s="1" t="s">
        <v>1608</v>
      </c>
      <c r="R390" s="1" t="s">
        <v>4811</v>
      </c>
      <c r="S390" s="1" t="s">
        <v>31</v>
      </c>
      <c r="T390" s="1" t="s">
        <v>73</v>
      </c>
      <c r="U390" s="1" t="s">
        <v>71</v>
      </c>
      <c r="V390" s="1" t="s">
        <v>72</v>
      </c>
      <c r="W390" s="1" t="s">
        <v>31</v>
      </c>
      <c r="X390" s="1" t="s">
        <v>1401</v>
      </c>
      <c r="Y390" s="1" t="s">
        <v>4812</v>
      </c>
      <c r="Z390" s="1" t="s">
        <v>51</v>
      </c>
      <c r="AA390" s="1" t="s">
        <v>31</v>
      </c>
      <c r="AB390" s="1" t="s">
        <v>31</v>
      </c>
      <c r="AC390" s="1" t="s">
        <v>538</v>
      </c>
      <c r="AD390" s="1" t="s">
        <v>31</v>
      </c>
      <c r="AE390" s="5"/>
    </row>
    <row r="391" ht="14.25" customHeight="1">
      <c r="A391" s="1" t="s">
        <v>33</v>
      </c>
      <c r="B391" s="1">
        <v>1.1000715E7</v>
      </c>
      <c r="C391" s="1" t="str">
        <f>VLOOKUP(B391,Equipment!A$1:J$575,9,0)</f>
        <v>E</v>
      </c>
      <c r="D391" s="1" t="s">
        <v>4813</v>
      </c>
      <c r="E391" s="1" t="s">
        <v>4814</v>
      </c>
      <c r="F391" s="1" t="s">
        <v>988</v>
      </c>
      <c r="G391" s="1" t="s">
        <v>4815</v>
      </c>
      <c r="H391" s="1" t="s">
        <v>735</v>
      </c>
      <c r="I391" s="1" t="s">
        <v>1260</v>
      </c>
      <c r="J391" s="1" t="s">
        <v>1352</v>
      </c>
      <c r="K391" s="1" t="s">
        <v>4816</v>
      </c>
      <c r="L391" s="1">
        <v>1.0</v>
      </c>
      <c r="M391" s="1" t="s">
        <v>735</v>
      </c>
      <c r="N391" s="1" t="s">
        <v>1352</v>
      </c>
      <c r="O391" s="1" t="s">
        <v>131</v>
      </c>
      <c r="P391" s="1">
        <v>2001.0</v>
      </c>
      <c r="Q391" s="1" t="s">
        <v>1260</v>
      </c>
      <c r="R391" s="1" t="s">
        <v>4816</v>
      </c>
      <c r="S391" s="1" t="s">
        <v>31</v>
      </c>
      <c r="T391" s="1" t="s">
        <v>73</v>
      </c>
      <c r="U391" s="1" t="s">
        <v>71</v>
      </c>
      <c r="V391" s="1" t="s">
        <v>72</v>
      </c>
      <c r="W391" s="1" t="s">
        <v>31</v>
      </c>
      <c r="X391" s="1" t="s">
        <v>735</v>
      </c>
      <c r="Y391" s="1" t="s">
        <v>4817</v>
      </c>
      <c r="Z391" s="1" t="s">
        <v>51</v>
      </c>
      <c r="AA391" s="1" t="s">
        <v>31</v>
      </c>
      <c r="AB391" s="1" t="s">
        <v>31</v>
      </c>
      <c r="AC391" s="1" t="s">
        <v>137</v>
      </c>
      <c r="AD391" s="1" t="s">
        <v>31</v>
      </c>
      <c r="AE391" s="5"/>
    </row>
    <row r="392" ht="14.25" customHeight="1">
      <c r="A392" s="1" t="s">
        <v>33</v>
      </c>
      <c r="B392" s="1">
        <v>1.1000389E7</v>
      </c>
      <c r="C392" s="1" t="str">
        <f>VLOOKUP(B392,Equipment!A$1:J$575,9,0)</f>
        <v>E</v>
      </c>
      <c r="D392" s="1" t="s">
        <v>4818</v>
      </c>
      <c r="E392" s="1" t="s">
        <v>4819</v>
      </c>
      <c r="F392" s="1" t="s">
        <v>60</v>
      </c>
      <c r="G392" s="1" t="s">
        <v>4041</v>
      </c>
      <c r="H392" s="1" t="s">
        <v>4820</v>
      </c>
      <c r="I392" s="1" t="s">
        <v>4820</v>
      </c>
      <c r="J392" s="1" t="s">
        <v>1175</v>
      </c>
      <c r="K392" s="1" t="s">
        <v>119</v>
      </c>
      <c r="L392" s="1">
        <v>1.0</v>
      </c>
      <c r="M392" s="1" t="s">
        <v>1328</v>
      </c>
      <c r="N392" s="1" t="s">
        <v>4821</v>
      </c>
      <c r="O392" s="1" t="s">
        <v>68</v>
      </c>
      <c r="P392" s="1">
        <v>1041.0</v>
      </c>
      <c r="Q392" s="1" t="s">
        <v>1030</v>
      </c>
      <c r="R392" s="1" t="s">
        <v>4822</v>
      </c>
      <c r="S392" s="1" t="s">
        <v>2197</v>
      </c>
      <c r="T392" s="1" t="s">
        <v>4823</v>
      </c>
      <c r="U392" s="1" t="s">
        <v>71</v>
      </c>
      <c r="V392" s="1" t="s">
        <v>72</v>
      </c>
      <c r="W392" s="1" t="s">
        <v>31</v>
      </c>
      <c r="X392" s="1" t="s">
        <v>31</v>
      </c>
      <c r="Y392" s="1" t="s">
        <v>73</v>
      </c>
      <c r="Z392" s="1" t="s">
        <v>51</v>
      </c>
      <c r="AA392" s="1" t="s">
        <v>31</v>
      </c>
      <c r="AB392" s="1" t="s">
        <v>31</v>
      </c>
      <c r="AC392" s="1" t="s">
        <v>74</v>
      </c>
      <c r="AD392" s="1" t="s">
        <v>31</v>
      </c>
      <c r="AE392" s="5"/>
    </row>
    <row r="393" ht="14.25" customHeight="1">
      <c r="A393" s="1" t="s">
        <v>33</v>
      </c>
      <c r="B393" s="1">
        <v>1.1000453E7</v>
      </c>
      <c r="C393" s="1" t="str">
        <f>VLOOKUP(B393,Equipment!A$1:J$575,9,0)</f>
        <v>E</v>
      </c>
      <c r="D393" s="1" t="s">
        <v>4824</v>
      </c>
      <c r="E393" s="1" t="s">
        <v>4825</v>
      </c>
      <c r="F393" s="1" t="s">
        <v>283</v>
      </c>
      <c r="G393" s="1" t="s">
        <v>4826</v>
      </c>
      <c r="H393" s="1" t="s">
        <v>4827</v>
      </c>
      <c r="I393" s="1" t="s">
        <v>4827</v>
      </c>
      <c r="J393" s="1" t="s">
        <v>4346</v>
      </c>
      <c r="K393" s="1" t="s">
        <v>341</v>
      </c>
      <c r="L393" s="1">
        <v>7.42</v>
      </c>
      <c r="M393" s="1" t="s">
        <v>63</v>
      </c>
      <c r="N393" s="1" t="s">
        <v>4828</v>
      </c>
      <c r="O393" s="1" t="s">
        <v>68</v>
      </c>
      <c r="P393" s="1">
        <v>1041.0</v>
      </c>
      <c r="Q393" s="1" t="s">
        <v>1030</v>
      </c>
      <c r="R393" s="1" t="s">
        <v>4829</v>
      </c>
      <c r="S393" s="1" t="s">
        <v>90</v>
      </c>
      <c r="T393" s="1" t="s">
        <v>4830</v>
      </c>
      <c r="U393" s="1" t="s">
        <v>71</v>
      </c>
      <c r="V393" s="1" t="s">
        <v>72</v>
      </c>
      <c r="W393" s="1" t="s">
        <v>31</v>
      </c>
      <c r="X393" s="1" t="s">
        <v>31</v>
      </c>
      <c r="Y393" s="1" t="s">
        <v>73</v>
      </c>
      <c r="Z393" s="1" t="s">
        <v>51</v>
      </c>
      <c r="AA393" s="1" t="s">
        <v>31</v>
      </c>
      <c r="AB393" s="1" t="s">
        <v>31</v>
      </c>
      <c r="AC393" s="1" t="s">
        <v>74</v>
      </c>
      <c r="AD393" s="1" t="s">
        <v>31</v>
      </c>
      <c r="AE393" s="5"/>
    </row>
    <row r="394" ht="14.25" customHeight="1">
      <c r="A394" s="1" t="s">
        <v>33</v>
      </c>
      <c r="B394" s="1">
        <v>1.1000453E7</v>
      </c>
      <c r="C394" s="1" t="str">
        <f>VLOOKUP(B394,Equipment!A$1:J$575,9,0)</f>
        <v>E</v>
      </c>
      <c r="D394" s="1" t="s">
        <v>4831</v>
      </c>
      <c r="E394" s="1" t="s">
        <v>4832</v>
      </c>
      <c r="F394" s="1" t="s">
        <v>283</v>
      </c>
      <c r="G394" s="1" t="s">
        <v>4833</v>
      </c>
      <c r="H394" s="1" t="s">
        <v>4827</v>
      </c>
      <c r="I394" s="1" t="s">
        <v>4827</v>
      </c>
      <c r="J394" s="1" t="s">
        <v>4346</v>
      </c>
      <c r="K394" s="1" t="s">
        <v>341</v>
      </c>
      <c r="L394" s="1">
        <v>7.42</v>
      </c>
      <c r="M394" s="1" t="s">
        <v>1328</v>
      </c>
      <c r="N394" s="1" t="s">
        <v>4834</v>
      </c>
      <c r="O394" s="1" t="s">
        <v>68</v>
      </c>
      <c r="P394" s="1">
        <v>1041.0</v>
      </c>
      <c r="Q394" s="1" t="s">
        <v>1030</v>
      </c>
      <c r="R394" s="1" t="s">
        <v>4835</v>
      </c>
      <c r="S394" s="1" t="s">
        <v>1260</v>
      </c>
      <c r="T394" s="1" t="s">
        <v>4836</v>
      </c>
      <c r="U394" s="1" t="s">
        <v>71</v>
      </c>
      <c r="V394" s="1" t="s">
        <v>72</v>
      </c>
      <c r="W394" s="1" t="s">
        <v>31</v>
      </c>
      <c r="X394" s="1" t="s">
        <v>31</v>
      </c>
      <c r="Y394" s="1" t="s">
        <v>73</v>
      </c>
      <c r="Z394" s="1" t="s">
        <v>51</v>
      </c>
      <c r="AA394" s="1" t="s">
        <v>31</v>
      </c>
      <c r="AB394" s="1" t="s">
        <v>31</v>
      </c>
      <c r="AC394" s="1" t="s">
        <v>74</v>
      </c>
      <c r="AD394" s="1" t="s">
        <v>31</v>
      </c>
      <c r="AE394" s="5"/>
    </row>
    <row r="395" ht="14.25" customHeight="1">
      <c r="A395" s="1" t="s">
        <v>33</v>
      </c>
      <c r="B395" s="1">
        <v>1.1000378E7</v>
      </c>
      <c r="C395" s="1" t="str">
        <f>VLOOKUP(B395,Equipment!A$1:J$575,9,0)</f>
        <v>E</v>
      </c>
      <c r="D395" s="1" t="s">
        <v>4837</v>
      </c>
      <c r="E395" s="1" t="s">
        <v>4838</v>
      </c>
      <c r="F395" s="1" t="s">
        <v>833</v>
      </c>
      <c r="G395" s="1" t="s">
        <v>1025</v>
      </c>
      <c r="H395" s="1" t="s">
        <v>4839</v>
      </c>
      <c r="I395" s="1" t="s">
        <v>1027</v>
      </c>
      <c r="J395" s="1" t="s">
        <v>3888</v>
      </c>
      <c r="K395" s="1" t="s">
        <v>991</v>
      </c>
      <c r="L395" s="1">
        <v>985.0</v>
      </c>
      <c r="M395" s="1" t="s">
        <v>1027</v>
      </c>
      <c r="N395" s="1" t="s">
        <v>4840</v>
      </c>
      <c r="O395" s="1" t="s">
        <v>68</v>
      </c>
      <c r="P395" s="1">
        <v>1041.0</v>
      </c>
      <c r="Q395" s="1" t="s">
        <v>1030</v>
      </c>
      <c r="R395" s="1" t="s">
        <v>4841</v>
      </c>
      <c r="S395" s="1" t="s">
        <v>1033</v>
      </c>
      <c r="T395" s="1" t="s">
        <v>4842</v>
      </c>
      <c r="U395" s="1" t="s">
        <v>71</v>
      </c>
      <c r="V395" s="1" t="s">
        <v>72</v>
      </c>
      <c r="W395" s="1" t="s">
        <v>31</v>
      </c>
      <c r="X395" s="1" t="s">
        <v>1027</v>
      </c>
      <c r="Y395" s="1" t="s">
        <v>4842</v>
      </c>
      <c r="Z395" s="1" t="s">
        <v>51</v>
      </c>
      <c r="AA395" s="1" t="s">
        <v>31</v>
      </c>
      <c r="AB395" s="1" t="s">
        <v>31</v>
      </c>
      <c r="AC395" s="1" t="s">
        <v>74</v>
      </c>
      <c r="AD395" s="1" t="s">
        <v>31</v>
      </c>
      <c r="AE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41.13"/>
    <col customWidth="1" min="3" max="3" width="7.75"/>
    <col customWidth="1" min="4" max="4" width="31.25"/>
    <col customWidth="1" min="5" max="5" width="30.63"/>
    <col customWidth="1" min="6" max="6" width="21.5"/>
    <col customWidth="1" min="7" max="7" width="9.75"/>
    <col customWidth="1" min="8" max="8" width="9.63"/>
    <col customWidth="1" min="9" max="9" width="3.38"/>
    <col customWidth="1" min="10" max="10" width="5.0"/>
    <col customWidth="1" min="11" max="11" width="1.0"/>
    <col customWidth="1" min="12" max="26" width="8.63"/>
  </cols>
  <sheetData>
    <row r="1" ht="14.25" customHeight="1">
      <c r="A1" s="1" t="s">
        <v>2</v>
      </c>
      <c r="B1" s="1" t="s">
        <v>7</v>
      </c>
      <c r="C1" s="1" t="s">
        <v>27</v>
      </c>
      <c r="D1" s="1" t="s">
        <v>34</v>
      </c>
      <c r="E1" s="1" t="s">
        <v>36</v>
      </c>
      <c r="F1" s="1" t="s">
        <v>38</v>
      </c>
      <c r="G1" s="1" t="s">
        <v>41</v>
      </c>
      <c r="H1" s="1" t="s">
        <v>43</v>
      </c>
      <c r="I1" s="1" t="s">
        <v>44</v>
      </c>
      <c r="J1" s="1" t="s">
        <v>17</v>
      </c>
      <c r="K1" s="1" t="s">
        <v>31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1">
        <v>1.1E7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31</v>
      </c>
      <c r="H2" s="1" t="s">
        <v>55</v>
      </c>
      <c r="I2" s="1" t="s">
        <v>56</v>
      </c>
      <c r="J2" s="1">
        <v>1001.0</v>
      </c>
      <c r="K2" s="1" t="s">
        <v>31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1">
        <v>1.1000001E7</v>
      </c>
      <c r="B3" s="1" t="s">
        <v>59</v>
      </c>
      <c r="C3" s="1" t="s">
        <v>51</v>
      </c>
      <c r="D3" s="1" t="s">
        <v>62</v>
      </c>
      <c r="E3" s="1" t="s">
        <v>64</v>
      </c>
      <c r="F3" s="1" t="s">
        <v>66</v>
      </c>
      <c r="G3" s="1" t="s">
        <v>31</v>
      </c>
      <c r="H3" s="1" t="s">
        <v>55</v>
      </c>
      <c r="I3" s="1" t="s">
        <v>56</v>
      </c>
      <c r="J3" s="1">
        <v>1001.0</v>
      </c>
      <c r="K3" s="1" t="s">
        <v>31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">
        <v>1.1000005E7</v>
      </c>
      <c r="B4" s="1" t="s">
        <v>75</v>
      </c>
      <c r="C4" s="1" t="s">
        <v>51</v>
      </c>
      <c r="D4" s="1" t="s">
        <v>76</v>
      </c>
      <c r="E4" s="1" t="s">
        <v>77</v>
      </c>
      <c r="F4" s="1" t="s">
        <v>77</v>
      </c>
      <c r="G4" s="1" t="s">
        <v>31</v>
      </c>
      <c r="H4" s="1" t="s">
        <v>55</v>
      </c>
      <c r="I4" s="1" t="s">
        <v>56</v>
      </c>
      <c r="J4" s="1">
        <v>1001.0</v>
      </c>
      <c r="K4" s="1" t="s">
        <v>31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">
        <v>1.1000006E7</v>
      </c>
      <c r="B5" s="1" t="s">
        <v>85</v>
      </c>
      <c r="C5" s="1" t="s">
        <v>51</v>
      </c>
      <c r="D5" s="1" t="s">
        <v>87</v>
      </c>
      <c r="E5" s="1" t="s">
        <v>88</v>
      </c>
      <c r="F5" s="1" t="s">
        <v>89</v>
      </c>
      <c r="G5" s="1" t="s">
        <v>31</v>
      </c>
      <c r="H5" s="1" t="s">
        <v>55</v>
      </c>
      <c r="I5" s="1" t="s">
        <v>56</v>
      </c>
      <c r="J5" s="1">
        <v>1001.0</v>
      </c>
      <c r="K5" s="1" t="s">
        <v>31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1">
        <v>1.1000007E7</v>
      </c>
      <c r="B6" s="1" t="s">
        <v>92</v>
      </c>
      <c r="C6" s="1" t="s">
        <v>51</v>
      </c>
      <c r="D6" s="1" t="s">
        <v>93</v>
      </c>
      <c r="E6" s="1" t="s">
        <v>94</v>
      </c>
      <c r="F6" s="1" t="s">
        <v>95</v>
      </c>
      <c r="G6" s="1" t="s">
        <v>31</v>
      </c>
      <c r="H6" s="1" t="s">
        <v>55</v>
      </c>
      <c r="I6" s="1" t="s">
        <v>56</v>
      </c>
      <c r="J6" s="1">
        <v>1001.0</v>
      </c>
      <c r="K6" s="1" t="s">
        <v>31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">
        <v>1.1000008E7</v>
      </c>
      <c r="B7" s="1" t="s">
        <v>105</v>
      </c>
      <c r="C7" s="1" t="s">
        <v>51</v>
      </c>
      <c r="D7" s="1" t="s">
        <v>107</v>
      </c>
      <c r="E7" s="1" t="s">
        <v>108</v>
      </c>
      <c r="F7" s="1" t="s">
        <v>110</v>
      </c>
      <c r="G7" s="1" t="s">
        <v>31</v>
      </c>
      <c r="H7" s="1" t="s">
        <v>55</v>
      </c>
      <c r="I7" s="1" t="s">
        <v>56</v>
      </c>
      <c r="J7" s="1">
        <v>1001.0</v>
      </c>
      <c r="K7" s="1" t="s">
        <v>31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1">
        <v>1.1000009E7</v>
      </c>
      <c r="B8" s="1" t="s">
        <v>113</v>
      </c>
      <c r="C8" s="1" t="s">
        <v>51</v>
      </c>
      <c r="D8" s="1" t="s">
        <v>93</v>
      </c>
      <c r="E8" s="1" t="s">
        <v>118</v>
      </c>
      <c r="F8" s="1" t="s">
        <v>118</v>
      </c>
      <c r="G8" s="1" t="s">
        <v>31</v>
      </c>
      <c r="H8" s="1" t="s">
        <v>55</v>
      </c>
      <c r="I8" s="1" t="s">
        <v>56</v>
      </c>
      <c r="J8" s="1">
        <v>1001.0</v>
      </c>
      <c r="K8" s="1" t="s">
        <v>31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1">
        <v>1.1000015E7</v>
      </c>
      <c r="B9" s="1" t="s">
        <v>123</v>
      </c>
      <c r="C9" s="1" t="s">
        <v>51</v>
      </c>
      <c r="D9" s="1" t="s">
        <v>52</v>
      </c>
      <c r="E9" s="1" t="s">
        <v>124</v>
      </c>
      <c r="F9" s="1" t="s">
        <v>54</v>
      </c>
      <c r="G9" s="1" t="s">
        <v>31</v>
      </c>
      <c r="H9" s="1" t="s">
        <v>55</v>
      </c>
      <c r="I9" s="1" t="s">
        <v>56</v>
      </c>
      <c r="J9" s="1">
        <v>1001.0</v>
      </c>
      <c r="K9" s="1" t="s">
        <v>31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1">
        <v>1.1000019E7</v>
      </c>
      <c r="B10" s="1" t="s">
        <v>133</v>
      </c>
      <c r="C10" s="1" t="s">
        <v>51</v>
      </c>
      <c r="D10" s="1" t="s">
        <v>52</v>
      </c>
      <c r="E10" s="1" t="s">
        <v>135</v>
      </c>
      <c r="F10" s="1" t="s">
        <v>54</v>
      </c>
      <c r="G10" s="1" t="s">
        <v>31</v>
      </c>
      <c r="H10" s="1" t="s">
        <v>55</v>
      </c>
      <c r="I10" s="1" t="s">
        <v>56</v>
      </c>
      <c r="J10" s="1">
        <v>1001.0</v>
      </c>
      <c r="K10" s="1" t="s">
        <v>31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1">
        <v>1.100002E7</v>
      </c>
      <c r="B11" s="1" t="s">
        <v>142</v>
      </c>
      <c r="C11" s="1" t="s">
        <v>51</v>
      </c>
      <c r="D11" s="1" t="s">
        <v>145</v>
      </c>
      <c r="E11" s="1" t="s">
        <v>146</v>
      </c>
      <c r="F11" s="1" t="s">
        <v>149</v>
      </c>
      <c r="G11" s="1" t="s">
        <v>31</v>
      </c>
      <c r="H11" s="1" t="s">
        <v>55</v>
      </c>
      <c r="I11" s="1" t="s">
        <v>56</v>
      </c>
      <c r="J11" s="1">
        <v>1001.0</v>
      </c>
      <c r="K11" s="1" t="s">
        <v>31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1">
        <v>1.1000021E7</v>
      </c>
      <c r="B12" s="1" t="s">
        <v>153</v>
      </c>
      <c r="C12" s="1" t="s">
        <v>51</v>
      </c>
      <c r="D12" s="1" t="s">
        <v>154</v>
      </c>
      <c r="E12" s="1" t="s">
        <v>155</v>
      </c>
      <c r="F12" s="1" t="s">
        <v>156</v>
      </c>
      <c r="G12" s="1" t="s">
        <v>31</v>
      </c>
      <c r="H12" s="1" t="s">
        <v>55</v>
      </c>
      <c r="I12" s="1" t="s">
        <v>56</v>
      </c>
      <c r="J12" s="1">
        <v>1001.0</v>
      </c>
      <c r="K12" s="1" t="s">
        <v>31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1">
        <v>1.1000022E7</v>
      </c>
      <c r="B13" s="1" t="s">
        <v>165</v>
      </c>
      <c r="C13" s="1" t="s">
        <v>51</v>
      </c>
      <c r="D13" s="1" t="s">
        <v>87</v>
      </c>
      <c r="E13" s="1" t="s">
        <v>155</v>
      </c>
      <c r="F13" s="1" t="s">
        <v>156</v>
      </c>
      <c r="G13" s="1" t="s">
        <v>31</v>
      </c>
      <c r="H13" s="1" t="s">
        <v>55</v>
      </c>
      <c r="I13" s="1" t="s">
        <v>56</v>
      </c>
      <c r="J13" s="1">
        <v>1001.0</v>
      </c>
      <c r="K13" s="1" t="s">
        <v>31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1">
        <v>1.1000024E7</v>
      </c>
      <c r="B14" s="1" t="s">
        <v>172</v>
      </c>
      <c r="C14" s="1" t="s">
        <v>51</v>
      </c>
      <c r="D14" s="1" t="s">
        <v>173</v>
      </c>
      <c r="E14" s="1" t="s">
        <v>174</v>
      </c>
      <c r="F14" s="1" t="s">
        <v>175</v>
      </c>
      <c r="G14" s="1" t="s">
        <v>31</v>
      </c>
      <c r="H14" s="1" t="s">
        <v>55</v>
      </c>
      <c r="I14" s="1" t="s">
        <v>56</v>
      </c>
      <c r="J14" s="1">
        <v>1001.0</v>
      </c>
      <c r="K14" s="1" t="s">
        <v>31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1">
        <v>1.1000031E7</v>
      </c>
      <c r="B15" s="1" t="s">
        <v>176</v>
      </c>
      <c r="C15" s="1" t="s">
        <v>51</v>
      </c>
      <c r="D15" s="1" t="s">
        <v>178</v>
      </c>
      <c r="E15" s="1" t="s">
        <v>181</v>
      </c>
      <c r="F15" s="1" t="s">
        <v>183</v>
      </c>
      <c r="G15" s="1" t="s">
        <v>31</v>
      </c>
      <c r="H15" s="1" t="s">
        <v>55</v>
      </c>
      <c r="I15" s="1" t="s">
        <v>56</v>
      </c>
      <c r="J15" s="1">
        <v>1001.0</v>
      </c>
      <c r="K15" s="1" t="s">
        <v>31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1">
        <v>1.1000033E7</v>
      </c>
      <c r="B16" s="1" t="s">
        <v>187</v>
      </c>
      <c r="C16" s="1" t="s">
        <v>51</v>
      </c>
      <c r="D16" s="1" t="s">
        <v>188</v>
      </c>
      <c r="E16" s="1" t="s">
        <v>190</v>
      </c>
      <c r="F16" s="1" t="s">
        <v>193</v>
      </c>
      <c r="G16" s="1" t="s">
        <v>31</v>
      </c>
      <c r="H16" s="1" t="s">
        <v>55</v>
      </c>
      <c r="I16" s="1" t="s">
        <v>56</v>
      </c>
      <c r="J16" s="1">
        <v>1001.0</v>
      </c>
      <c r="K16" s="1" t="s">
        <v>31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1">
        <v>1.1000036E7</v>
      </c>
      <c r="B17" s="1" t="s">
        <v>200</v>
      </c>
      <c r="C17" s="1" t="s">
        <v>51</v>
      </c>
      <c r="D17" s="1" t="s">
        <v>201</v>
      </c>
      <c r="E17" s="1" t="s">
        <v>201</v>
      </c>
      <c r="F17" s="1" t="s">
        <v>201</v>
      </c>
      <c r="G17" s="1" t="s">
        <v>31</v>
      </c>
      <c r="H17" s="1" t="s">
        <v>55</v>
      </c>
      <c r="I17" s="1" t="s">
        <v>56</v>
      </c>
      <c r="J17" s="1">
        <v>1001.0</v>
      </c>
      <c r="K17" s="1" t="s">
        <v>31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1">
        <v>1.1000043E7</v>
      </c>
      <c r="B18" s="1" t="s">
        <v>202</v>
      </c>
      <c r="C18" s="1" t="s">
        <v>51</v>
      </c>
      <c r="D18" s="1" t="s">
        <v>203</v>
      </c>
      <c r="E18" s="1" t="s">
        <v>31</v>
      </c>
      <c r="F18" s="1" t="s">
        <v>31</v>
      </c>
      <c r="G18" s="1" t="s">
        <v>31</v>
      </c>
      <c r="H18" s="1" t="s">
        <v>55</v>
      </c>
      <c r="I18" s="1" t="s">
        <v>56</v>
      </c>
      <c r="J18" s="1">
        <v>2501.0</v>
      </c>
      <c r="K18" s="1" t="s">
        <v>31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1">
        <v>1.1000044E7</v>
      </c>
      <c r="B19" s="1" t="s">
        <v>213</v>
      </c>
      <c r="C19" s="1" t="s">
        <v>51</v>
      </c>
      <c r="D19" s="1" t="s">
        <v>203</v>
      </c>
      <c r="E19" s="1" t="s">
        <v>31</v>
      </c>
      <c r="F19" s="1" t="s">
        <v>31</v>
      </c>
      <c r="G19" s="1" t="s">
        <v>31</v>
      </c>
      <c r="H19" s="1" t="s">
        <v>55</v>
      </c>
      <c r="I19" s="1" t="s">
        <v>56</v>
      </c>
      <c r="J19" s="1">
        <v>2501.0</v>
      </c>
      <c r="K19" s="1" t="s">
        <v>31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1">
        <v>1.1000049E7</v>
      </c>
      <c r="B20" s="1" t="s">
        <v>224</v>
      </c>
      <c r="C20" s="1" t="s">
        <v>51</v>
      </c>
      <c r="D20" s="1" t="s">
        <v>225</v>
      </c>
      <c r="E20" s="1" t="s">
        <v>31</v>
      </c>
      <c r="F20" s="1" t="s">
        <v>226</v>
      </c>
      <c r="G20" s="1" t="s">
        <v>31</v>
      </c>
      <c r="H20" s="1" t="s">
        <v>55</v>
      </c>
      <c r="I20" s="1" t="s">
        <v>56</v>
      </c>
      <c r="J20" s="1">
        <v>2501.0</v>
      </c>
      <c r="K20" s="1" t="s">
        <v>31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1">
        <v>1.1000052E7</v>
      </c>
      <c r="B21" s="1" t="s">
        <v>228</v>
      </c>
      <c r="C21" s="1" t="s">
        <v>51</v>
      </c>
      <c r="D21" s="1" t="s">
        <v>229</v>
      </c>
      <c r="E21" s="1" t="s">
        <v>230</v>
      </c>
      <c r="F21" s="1" t="s">
        <v>231</v>
      </c>
      <c r="G21" s="1" t="s">
        <v>31</v>
      </c>
      <c r="H21" s="1" t="s">
        <v>55</v>
      </c>
      <c r="I21" s="1" t="s">
        <v>56</v>
      </c>
      <c r="J21" s="1">
        <v>2501.0</v>
      </c>
      <c r="K21" s="1" t="s">
        <v>31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1">
        <v>1.1000053E7</v>
      </c>
      <c r="B22" s="1" t="s">
        <v>232</v>
      </c>
      <c r="C22" s="1" t="s">
        <v>51</v>
      </c>
      <c r="D22" s="1" t="s">
        <v>233</v>
      </c>
      <c r="E22" s="1" t="s">
        <v>235</v>
      </c>
      <c r="F22" s="1" t="s">
        <v>239</v>
      </c>
      <c r="G22" s="1" t="s">
        <v>31</v>
      </c>
      <c r="H22" s="1" t="s">
        <v>55</v>
      </c>
      <c r="I22" s="1" t="s">
        <v>56</v>
      </c>
      <c r="J22" s="1">
        <v>2501.0</v>
      </c>
      <c r="K22" s="1" t="s">
        <v>31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1">
        <v>1.1000054E7</v>
      </c>
      <c r="B23" s="1" t="s">
        <v>244</v>
      </c>
      <c r="C23" s="1" t="s">
        <v>51</v>
      </c>
      <c r="D23" s="1" t="s">
        <v>233</v>
      </c>
      <c r="E23" s="1" t="s">
        <v>245</v>
      </c>
      <c r="F23" s="1" t="s">
        <v>246</v>
      </c>
      <c r="G23" s="1" t="s">
        <v>31</v>
      </c>
      <c r="H23" s="1" t="s">
        <v>55</v>
      </c>
      <c r="I23" s="1" t="s">
        <v>56</v>
      </c>
      <c r="J23" s="1">
        <v>2501.0</v>
      </c>
      <c r="K23" s="1" t="s">
        <v>31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1">
        <v>1.1000055E7</v>
      </c>
      <c r="B24" s="1" t="s">
        <v>247</v>
      </c>
      <c r="C24" s="1" t="s">
        <v>51</v>
      </c>
      <c r="D24" s="1" t="s">
        <v>233</v>
      </c>
      <c r="E24" s="1" t="s">
        <v>248</v>
      </c>
      <c r="F24" s="1" t="s">
        <v>249</v>
      </c>
      <c r="G24" s="1" t="s">
        <v>31</v>
      </c>
      <c r="H24" s="1" t="s">
        <v>55</v>
      </c>
      <c r="I24" s="1" t="s">
        <v>56</v>
      </c>
      <c r="J24" s="1">
        <v>2501.0</v>
      </c>
      <c r="K24" s="1" t="s">
        <v>31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1">
        <v>1.1000056E7</v>
      </c>
      <c r="B25" s="1" t="s">
        <v>251</v>
      </c>
      <c r="C25" s="1" t="s">
        <v>51</v>
      </c>
      <c r="D25" s="1" t="s">
        <v>252</v>
      </c>
      <c r="E25" s="1" t="s">
        <v>31</v>
      </c>
      <c r="F25" s="1" t="s">
        <v>31</v>
      </c>
      <c r="G25" s="1" t="s">
        <v>31</v>
      </c>
      <c r="H25" s="1" t="s">
        <v>55</v>
      </c>
      <c r="I25" s="1" t="s">
        <v>56</v>
      </c>
      <c r="J25" s="1">
        <v>2501.0</v>
      </c>
      <c r="K25" s="1" t="s">
        <v>31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1">
        <v>1.1000057E7</v>
      </c>
      <c r="B26" s="1" t="s">
        <v>260</v>
      </c>
      <c r="C26" s="1" t="s">
        <v>51</v>
      </c>
      <c r="D26" s="1" t="s">
        <v>261</v>
      </c>
      <c r="E26" s="1" t="s">
        <v>262</v>
      </c>
      <c r="F26" s="1" t="s">
        <v>264</v>
      </c>
      <c r="G26" s="1" t="s">
        <v>31</v>
      </c>
      <c r="H26" s="1" t="s">
        <v>55</v>
      </c>
      <c r="I26" s="1" t="s">
        <v>56</v>
      </c>
      <c r="J26" s="1">
        <v>2501.0</v>
      </c>
      <c r="K26" s="1" t="s">
        <v>31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1">
        <v>1.1000058E7</v>
      </c>
      <c r="B27" s="1" t="s">
        <v>265</v>
      </c>
      <c r="C27" s="1" t="s">
        <v>51</v>
      </c>
      <c r="D27" s="1" t="s">
        <v>261</v>
      </c>
      <c r="E27" s="1" t="s">
        <v>266</v>
      </c>
      <c r="F27" s="1" t="s">
        <v>264</v>
      </c>
      <c r="G27" s="1" t="s">
        <v>31</v>
      </c>
      <c r="H27" s="1" t="s">
        <v>55</v>
      </c>
      <c r="I27" s="1" t="s">
        <v>56</v>
      </c>
      <c r="J27" s="1">
        <v>2501.0</v>
      </c>
      <c r="K27" s="1" t="s">
        <v>31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1">
        <v>1.1000069E7</v>
      </c>
      <c r="B28" s="1" t="s">
        <v>274</v>
      </c>
      <c r="C28" s="1" t="s">
        <v>51</v>
      </c>
      <c r="D28" s="1" t="s">
        <v>275</v>
      </c>
      <c r="E28" s="1" t="s">
        <v>276</v>
      </c>
      <c r="F28" s="1" t="s">
        <v>277</v>
      </c>
      <c r="G28" s="1" t="s">
        <v>31</v>
      </c>
      <c r="H28" s="1" t="s">
        <v>55</v>
      </c>
      <c r="I28" s="1" t="s">
        <v>56</v>
      </c>
      <c r="J28" s="1">
        <v>1501.0</v>
      </c>
      <c r="K28" s="1" t="s">
        <v>31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1">
        <v>1.100007E7</v>
      </c>
      <c r="B29" s="1" t="s">
        <v>279</v>
      </c>
      <c r="C29" s="1" t="s">
        <v>51</v>
      </c>
      <c r="D29" s="1" t="s">
        <v>275</v>
      </c>
      <c r="E29" s="1" t="s">
        <v>280</v>
      </c>
      <c r="F29" s="1" t="s">
        <v>277</v>
      </c>
      <c r="G29" s="1" t="s">
        <v>31</v>
      </c>
      <c r="H29" s="1" t="s">
        <v>55</v>
      </c>
      <c r="I29" s="1" t="s">
        <v>56</v>
      </c>
      <c r="J29" s="1">
        <v>1501.0</v>
      </c>
      <c r="K29" s="1" t="s">
        <v>31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1">
        <v>1.1000071E7</v>
      </c>
      <c r="B30" s="1" t="s">
        <v>288</v>
      </c>
      <c r="C30" s="1" t="s">
        <v>51</v>
      </c>
      <c r="D30" s="1" t="s">
        <v>275</v>
      </c>
      <c r="E30" s="1" t="s">
        <v>289</v>
      </c>
      <c r="F30" s="1" t="s">
        <v>290</v>
      </c>
      <c r="G30" s="1" t="s">
        <v>31</v>
      </c>
      <c r="H30" s="1" t="s">
        <v>55</v>
      </c>
      <c r="I30" s="1" t="s">
        <v>56</v>
      </c>
      <c r="J30" s="1">
        <v>1501.0</v>
      </c>
      <c r="K30" s="1" t="s">
        <v>31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1">
        <v>1.1000072E7</v>
      </c>
      <c r="B31" s="1" t="s">
        <v>291</v>
      </c>
      <c r="C31" s="1" t="s">
        <v>51</v>
      </c>
      <c r="D31" s="1" t="s">
        <v>275</v>
      </c>
      <c r="E31" s="1" t="s">
        <v>296</v>
      </c>
      <c r="F31" s="1" t="s">
        <v>290</v>
      </c>
      <c r="G31" s="1" t="s">
        <v>31</v>
      </c>
      <c r="H31" s="1" t="s">
        <v>55</v>
      </c>
      <c r="I31" s="1" t="s">
        <v>56</v>
      </c>
      <c r="J31" s="1">
        <v>1501.0</v>
      </c>
      <c r="K31" s="1" t="s">
        <v>31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1">
        <v>1.1000091E7</v>
      </c>
      <c r="B32" s="1" t="s">
        <v>300</v>
      </c>
      <c r="C32" s="1" t="s">
        <v>51</v>
      </c>
      <c r="D32" s="1" t="s">
        <v>301</v>
      </c>
      <c r="E32" s="1" t="s">
        <v>302</v>
      </c>
      <c r="F32" s="1" t="s">
        <v>303</v>
      </c>
      <c r="G32" s="1" t="s">
        <v>31</v>
      </c>
      <c r="H32" s="1" t="s">
        <v>55</v>
      </c>
      <c r="I32" s="1" t="s">
        <v>56</v>
      </c>
      <c r="J32" s="1">
        <v>1501.0</v>
      </c>
      <c r="K32" s="1" t="s">
        <v>31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1">
        <v>1.1000093E7</v>
      </c>
      <c r="B33" s="1" t="s">
        <v>306</v>
      </c>
      <c r="C33" s="1" t="s">
        <v>51</v>
      </c>
      <c r="D33" s="1" t="s">
        <v>308</v>
      </c>
      <c r="E33" s="1" t="s">
        <v>308</v>
      </c>
      <c r="F33" s="1" t="s">
        <v>308</v>
      </c>
      <c r="G33" s="1" t="s">
        <v>31</v>
      </c>
      <c r="H33" s="1" t="s">
        <v>55</v>
      </c>
      <c r="I33" s="1" t="s">
        <v>56</v>
      </c>
      <c r="J33" s="1">
        <v>1501.0</v>
      </c>
      <c r="K33" s="1" t="s">
        <v>31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1">
        <v>1.1000094E7</v>
      </c>
      <c r="B34" s="1" t="s">
        <v>312</v>
      </c>
      <c r="C34" s="1" t="s">
        <v>51</v>
      </c>
      <c r="D34" s="1" t="s">
        <v>313</v>
      </c>
      <c r="E34" s="1" t="s">
        <v>313</v>
      </c>
      <c r="F34" s="1" t="s">
        <v>313</v>
      </c>
      <c r="G34" s="1" t="s">
        <v>31</v>
      </c>
      <c r="H34" s="1" t="s">
        <v>55</v>
      </c>
      <c r="I34" s="1" t="s">
        <v>56</v>
      </c>
      <c r="J34" s="1">
        <v>1501.0</v>
      </c>
      <c r="K34" s="1" t="s">
        <v>31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1">
        <v>1.1000095E7</v>
      </c>
      <c r="B35" s="1" t="s">
        <v>319</v>
      </c>
      <c r="C35" s="1" t="s">
        <v>51</v>
      </c>
      <c r="D35" s="1" t="s">
        <v>320</v>
      </c>
      <c r="E35" s="1" t="s">
        <v>321</v>
      </c>
      <c r="F35" s="1" t="s">
        <v>322</v>
      </c>
      <c r="G35" s="1" t="s">
        <v>31</v>
      </c>
      <c r="H35" s="1" t="s">
        <v>55</v>
      </c>
      <c r="I35" s="1" t="s">
        <v>56</v>
      </c>
      <c r="J35" s="1">
        <v>1501.0</v>
      </c>
      <c r="K35" s="1" t="s">
        <v>31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1">
        <v>1.1000113E7</v>
      </c>
      <c r="B36" s="1" t="s">
        <v>324</v>
      </c>
      <c r="C36" s="1" t="s">
        <v>51</v>
      </c>
      <c r="D36" s="1" t="s">
        <v>328</v>
      </c>
      <c r="E36" s="1" t="s">
        <v>302</v>
      </c>
      <c r="F36" s="1" t="s">
        <v>302</v>
      </c>
      <c r="G36" s="1" t="s">
        <v>31</v>
      </c>
      <c r="H36" s="1" t="s">
        <v>55</v>
      </c>
      <c r="I36" s="1" t="s">
        <v>56</v>
      </c>
      <c r="J36" s="1">
        <v>1501.0</v>
      </c>
      <c r="K36" s="1" t="s">
        <v>31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1">
        <v>1.1000131E7</v>
      </c>
      <c r="B37" s="1" t="s">
        <v>332</v>
      </c>
      <c r="C37" s="1" t="s">
        <v>51</v>
      </c>
      <c r="D37" s="1" t="s">
        <v>333</v>
      </c>
      <c r="E37" s="1" t="s">
        <v>302</v>
      </c>
      <c r="F37" s="1" t="s">
        <v>334</v>
      </c>
      <c r="G37" s="1" t="s">
        <v>31</v>
      </c>
      <c r="H37" s="1" t="s">
        <v>55</v>
      </c>
      <c r="I37" s="1" t="s">
        <v>56</v>
      </c>
      <c r="J37" s="1">
        <v>1501.0</v>
      </c>
      <c r="K37" s="1" t="s">
        <v>31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1">
        <v>1.1000152E7</v>
      </c>
      <c r="B38" s="1" t="s">
        <v>340</v>
      </c>
      <c r="C38" s="1" t="s">
        <v>51</v>
      </c>
      <c r="D38" s="1" t="s">
        <v>342</v>
      </c>
      <c r="E38" s="1" t="s">
        <v>302</v>
      </c>
      <c r="F38" s="1" t="s">
        <v>302</v>
      </c>
      <c r="G38" s="1" t="s">
        <v>31</v>
      </c>
      <c r="H38" s="1" t="s">
        <v>55</v>
      </c>
      <c r="I38" s="1" t="s">
        <v>56</v>
      </c>
      <c r="J38" s="1">
        <v>1501.0</v>
      </c>
      <c r="K38" s="1" t="s">
        <v>31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1">
        <v>1.1000153E7</v>
      </c>
      <c r="B39" s="1" t="s">
        <v>344</v>
      </c>
      <c r="C39" s="1" t="s">
        <v>51</v>
      </c>
      <c r="D39" s="1" t="s">
        <v>342</v>
      </c>
      <c r="E39" s="1" t="s">
        <v>302</v>
      </c>
      <c r="F39" s="1" t="s">
        <v>302</v>
      </c>
      <c r="G39" s="1" t="s">
        <v>31</v>
      </c>
      <c r="H39" s="1" t="s">
        <v>55</v>
      </c>
      <c r="I39" s="1" t="s">
        <v>56</v>
      </c>
      <c r="J39" s="1">
        <v>1501.0</v>
      </c>
      <c r="K39" s="1" t="s">
        <v>31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1">
        <v>1.1000158E7</v>
      </c>
      <c r="B40" s="1" t="s">
        <v>351</v>
      </c>
      <c r="C40" s="1" t="s">
        <v>51</v>
      </c>
      <c r="D40" s="1" t="s">
        <v>352</v>
      </c>
      <c r="E40" s="1" t="s">
        <v>302</v>
      </c>
      <c r="F40" s="1" t="s">
        <v>334</v>
      </c>
      <c r="G40" s="1" t="s">
        <v>31</v>
      </c>
      <c r="H40" s="1" t="s">
        <v>55</v>
      </c>
      <c r="I40" s="1" t="s">
        <v>56</v>
      </c>
      <c r="J40" s="1">
        <v>1501.0</v>
      </c>
      <c r="K40" s="1" t="s">
        <v>31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1">
        <v>1.1000182E7</v>
      </c>
      <c r="B41" s="1" t="s">
        <v>361</v>
      </c>
      <c r="C41" s="1" t="s">
        <v>51</v>
      </c>
      <c r="D41" s="1" t="s">
        <v>362</v>
      </c>
      <c r="E41" s="1" t="s">
        <v>363</v>
      </c>
      <c r="F41" s="1" t="s">
        <v>364</v>
      </c>
      <c r="G41" s="1" t="s">
        <v>31</v>
      </c>
      <c r="H41" s="1" t="s">
        <v>55</v>
      </c>
      <c r="I41" s="1" t="s">
        <v>56</v>
      </c>
      <c r="J41" s="1">
        <v>1501.0</v>
      </c>
      <c r="K41" s="1" t="s">
        <v>31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1">
        <v>1.1000203E7</v>
      </c>
      <c r="B42" s="1" t="s">
        <v>365</v>
      </c>
      <c r="C42" s="1" t="s">
        <v>51</v>
      </c>
      <c r="D42" s="1" t="s">
        <v>366</v>
      </c>
      <c r="E42" s="1" t="s">
        <v>367</v>
      </c>
      <c r="F42" s="1" t="s">
        <v>368</v>
      </c>
      <c r="G42" s="1" t="s">
        <v>369</v>
      </c>
      <c r="H42" s="1" t="s">
        <v>55</v>
      </c>
      <c r="I42" s="1" t="s">
        <v>56</v>
      </c>
      <c r="J42" s="1">
        <v>2001.0</v>
      </c>
      <c r="K42" s="1" t="s">
        <v>31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1">
        <v>1.1000204E7</v>
      </c>
      <c r="B43" s="1" t="s">
        <v>372</v>
      </c>
      <c r="C43" s="1" t="s">
        <v>51</v>
      </c>
      <c r="D43" s="1" t="s">
        <v>374</v>
      </c>
      <c r="E43" s="1" t="s">
        <v>377</v>
      </c>
      <c r="F43" s="1" t="s">
        <v>378</v>
      </c>
      <c r="G43" s="1" t="s">
        <v>369</v>
      </c>
      <c r="H43" s="1" t="s">
        <v>55</v>
      </c>
      <c r="I43" s="1" t="s">
        <v>56</v>
      </c>
      <c r="J43" s="1">
        <v>2001.0</v>
      </c>
      <c r="K43" s="1" t="s">
        <v>31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1">
        <v>1.1000205E7</v>
      </c>
      <c r="B44" s="1" t="s">
        <v>380</v>
      </c>
      <c r="C44" s="1" t="s">
        <v>51</v>
      </c>
      <c r="D44" s="1" t="s">
        <v>381</v>
      </c>
      <c r="E44" s="1" t="s">
        <v>382</v>
      </c>
      <c r="F44" s="1" t="s">
        <v>383</v>
      </c>
      <c r="G44" s="1" t="s">
        <v>369</v>
      </c>
      <c r="H44" s="1" t="s">
        <v>55</v>
      </c>
      <c r="I44" s="1" t="s">
        <v>56</v>
      </c>
      <c r="J44" s="1">
        <v>2001.0</v>
      </c>
      <c r="K44" s="1" t="s">
        <v>31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1">
        <v>1.1000206E7</v>
      </c>
      <c r="B45" s="1" t="s">
        <v>115</v>
      </c>
      <c r="C45" s="1" t="s">
        <v>51</v>
      </c>
      <c r="D45" s="1" t="s">
        <v>374</v>
      </c>
      <c r="E45" s="1" t="s">
        <v>393</v>
      </c>
      <c r="F45" s="1" t="s">
        <v>394</v>
      </c>
      <c r="G45" s="1" t="s">
        <v>369</v>
      </c>
      <c r="H45" s="1" t="s">
        <v>55</v>
      </c>
      <c r="I45" s="1" t="s">
        <v>56</v>
      </c>
      <c r="J45" s="1">
        <v>2001.0</v>
      </c>
      <c r="K45" s="1" t="s">
        <v>31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1">
        <v>1.1000208E7</v>
      </c>
      <c r="B46" s="1" t="s">
        <v>316</v>
      </c>
      <c r="C46" s="1" t="s">
        <v>51</v>
      </c>
      <c r="D46" s="1" t="s">
        <v>395</v>
      </c>
      <c r="E46" s="1" t="s">
        <v>396</v>
      </c>
      <c r="F46" s="1" t="s">
        <v>397</v>
      </c>
      <c r="G46" s="1" t="s">
        <v>369</v>
      </c>
      <c r="H46" s="1" t="s">
        <v>55</v>
      </c>
      <c r="I46" s="1" t="s">
        <v>56</v>
      </c>
      <c r="J46" s="1">
        <v>2001.0</v>
      </c>
      <c r="K46" s="1" t="s">
        <v>31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1">
        <v>1.1000209E7</v>
      </c>
      <c r="B47" s="1" t="s">
        <v>404</v>
      </c>
      <c r="C47" s="1" t="s">
        <v>51</v>
      </c>
      <c r="D47" s="1" t="s">
        <v>395</v>
      </c>
      <c r="E47" s="1" t="s">
        <v>405</v>
      </c>
      <c r="F47" s="1" t="s">
        <v>406</v>
      </c>
      <c r="G47" s="1" t="s">
        <v>369</v>
      </c>
      <c r="H47" s="1" t="s">
        <v>55</v>
      </c>
      <c r="I47" s="1" t="s">
        <v>56</v>
      </c>
      <c r="J47" s="1">
        <v>2001.0</v>
      </c>
      <c r="K47" s="1" t="s">
        <v>31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1">
        <v>1.100021E7</v>
      </c>
      <c r="B48" s="1" t="s">
        <v>408</v>
      </c>
      <c r="C48" s="1" t="s">
        <v>51</v>
      </c>
      <c r="D48" s="1" t="s">
        <v>409</v>
      </c>
      <c r="E48" s="1" t="s">
        <v>410</v>
      </c>
      <c r="F48" s="1" t="s">
        <v>411</v>
      </c>
      <c r="G48" s="1" t="s">
        <v>369</v>
      </c>
      <c r="H48" s="1" t="s">
        <v>412</v>
      </c>
      <c r="I48" s="1" t="s">
        <v>56</v>
      </c>
      <c r="J48" s="1">
        <v>2001.0</v>
      </c>
      <c r="K48" s="1" t="s">
        <v>31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1">
        <v>1.1000212E7</v>
      </c>
      <c r="B49" s="1" t="s">
        <v>419</v>
      </c>
      <c r="C49" s="1" t="s">
        <v>51</v>
      </c>
      <c r="D49" s="1" t="s">
        <v>395</v>
      </c>
      <c r="E49" s="1" t="s">
        <v>421</v>
      </c>
      <c r="F49" s="1" t="s">
        <v>422</v>
      </c>
      <c r="G49" s="1" t="s">
        <v>369</v>
      </c>
      <c r="H49" s="1" t="s">
        <v>55</v>
      </c>
      <c r="I49" s="1" t="s">
        <v>56</v>
      </c>
      <c r="J49" s="1">
        <v>2001.0</v>
      </c>
      <c r="K49" s="1" t="s">
        <v>31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1">
        <v>1.1000213E7</v>
      </c>
      <c r="B50" s="1" t="s">
        <v>425</v>
      </c>
      <c r="C50" s="1" t="s">
        <v>51</v>
      </c>
      <c r="D50" s="1" t="s">
        <v>395</v>
      </c>
      <c r="E50" s="1" t="s">
        <v>426</v>
      </c>
      <c r="F50" s="1" t="s">
        <v>406</v>
      </c>
      <c r="G50" s="1" t="s">
        <v>369</v>
      </c>
      <c r="H50" s="1" t="s">
        <v>55</v>
      </c>
      <c r="I50" s="1" t="s">
        <v>56</v>
      </c>
      <c r="J50" s="1">
        <v>2001.0</v>
      </c>
      <c r="K50" s="1" t="s">
        <v>31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1">
        <v>1.1000214E7</v>
      </c>
      <c r="B51" s="1" t="s">
        <v>432</v>
      </c>
      <c r="C51" s="1" t="s">
        <v>51</v>
      </c>
      <c r="D51" s="1" t="s">
        <v>433</v>
      </c>
      <c r="E51" s="1" t="s">
        <v>434</v>
      </c>
      <c r="F51" s="1" t="s">
        <v>436</v>
      </c>
      <c r="G51" s="1" t="s">
        <v>369</v>
      </c>
      <c r="H51" s="1" t="s">
        <v>55</v>
      </c>
      <c r="I51" s="1" t="s">
        <v>56</v>
      </c>
      <c r="J51" s="1">
        <v>2001.0</v>
      </c>
      <c r="K51" s="1" t="s">
        <v>31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1">
        <v>1.1000215E7</v>
      </c>
      <c r="B52" s="1" t="s">
        <v>437</v>
      </c>
      <c r="C52" s="1" t="s">
        <v>51</v>
      </c>
      <c r="D52" s="1" t="s">
        <v>433</v>
      </c>
      <c r="E52" s="1" t="s">
        <v>438</v>
      </c>
      <c r="F52" s="1" t="s">
        <v>436</v>
      </c>
      <c r="G52" s="1" t="s">
        <v>369</v>
      </c>
      <c r="H52" s="1" t="s">
        <v>55</v>
      </c>
      <c r="I52" s="1" t="s">
        <v>56</v>
      </c>
      <c r="J52" s="1">
        <v>2001.0</v>
      </c>
      <c r="K52" s="1" t="s">
        <v>31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1">
        <v>1.1000216E7</v>
      </c>
      <c r="B53" s="1" t="s">
        <v>444</v>
      </c>
      <c r="C53" s="1" t="s">
        <v>51</v>
      </c>
      <c r="D53" s="1" t="s">
        <v>446</v>
      </c>
      <c r="E53" s="1" t="s">
        <v>447</v>
      </c>
      <c r="F53" s="1" t="s">
        <v>31</v>
      </c>
      <c r="G53" s="1" t="s">
        <v>369</v>
      </c>
      <c r="H53" s="1" t="s">
        <v>55</v>
      </c>
      <c r="I53" s="1" t="s">
        <v>56</v>
      </c>
      <c r="J53" s="1">
        <v>2001.0</v>
      </c>
      <c r="K53" s="1" t="s">
        <v>31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1">
        <v>1.1000217E7</v>
      </c>
      <c r="B54" s="1" t="s">
        <v>448</v>
      </c>
      <c r="C54" s="1" t="s">
        <v>51</v>
      </c>
      <c r="D54" s="1" t="s">
        <v>449</v>
      </c>
      <c r="E54" s="1" t="s">
        <v>450</v>
      </c>
      <c r="F54" s="1" t="s">
        <v>451</v>
      </c>
      <c r="G54" s="1" t="s">
        <v>369</v>
      </c>
      <c r="H54" s="1" t="s">
        <v>55</v>
      </c>
      <c r="I54" s="1" t="s">
        <v>56</v>
      </c>
      <c r="J54" s="1">
        <v>2001.0</v>
      </c>
      <c r="K54" s="1" t="s">
        <v>31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1">
        <v>1.1000218E7</v>
      </c>
      <c r="B55" s="1" t="s">
        <v>458</v>
      </c>
      <c r="C55" s="1" t="s">
        <v>51</v>
      </c>
      <c r="D55" s="1" t="s">
        <v>449</v>
      </c>
      <c r="E55" s="1" t="s">
        <v>460</v>
      </c>
      <c r="F55" s="1" t="s">
        <v>451</v>
      </c>
      <c r="G55" s="1" t="s">
        <v>369</v>
      </c>
      <c r="H55" s="1" t="s">
        <v>55</v>
      </c>
      <c r="I55" s="1" t="s">
        <v>56</v>
      </c>
      <c r="J55" s="1">
        <v>2001.0</v>
      </c>
      <c r="K55" s="1" t="s">
        <v>31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1">
        <v>1.1000224E7</v>
      </c>
      <c r="B56" s="1" t="s">
        <v>462</v>
      </c>
      <c r="C56" s="1" t="s">
        <v>51</v>
      </c>
      <c r="D56" s="1" t="s">
        <v>463</v>
      </c>
      <c r="E56" s="1" t="s">
        <v>464</v>
      </c>
      <c r="F56" s="1" t="s">
        <v>465</v>
      </c>
      <c r="G56" s="1" t="s">
        <v>369</v>
      </c>
      <c r="H56" s="1" t="s">
        <v>55</v>
      </c>
      <c r="I56" s="1" t="s">
        <v>56</v>
      </c>
      <c r="J56" s="1">
        <v>2001.0</v>
      </c>
      <c r="K56" s="1" t="s">
        <v>31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1">
        <v>1.1000225E7</v>
      </c>
      <c r="B57" s="1" t="s">
        <v>470</v>
      </c>
      <c r="C57" s="1" t="s">
        <v>51</v>
      </c>
      <c r="D57" s="1" t="s">
        <v>395</v>
      </c>
      <c r="E57" s="1" t="s">
        <v>472</v>
      </c>
      <c r="F57" s="1" t="s">
        <v>473</v>
      </c>
      <c r="G57" s="1" t="s">
        <v>369</v>
      </c>
      <c r="H57" s="1" t="s">
        <v>55</v>
      </c>
      <c r="I57" s="1" t="s">
        <v>56</v>
      </c>
      <c r="J57" s="1">
        <v>2001.0</v>
      </c>
      <c r="K57" s="1" t="s">
        <v>31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">
        <v>1.1000227E7</v>
      </c>
      <c r="B58" s="1" t="s">
        <v>326</v>
      </c>
      <c r="C58" s="1" t="s">
        <v>51</v>
      </c>
      <c r="D58" s="1" t="s">
        <v>475</v>
      </c>
      <c r="E58" s="1" t="s">
        <v>478</v>
      </c>
      <c r="F58" s="1" t="s">
        <v>480</v>
      </c>
      <c r="G58" s="1" t="s">
        <v>369</v>
      </c>
      <c r="H58" s="1" t="s">
        <v>55</v>
      </c>
      <c r="I58" s="1" t="s">
        <v>56</v>
      </c>
      <c r="J58" s="1">
        <v>2001.0</v>
      </c>
      <c r="K58" s="1" t="s">
        <v>31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1">
        <v>1.1000228E7</v>
      </c>
      <c r="B59" s="1" t="s">
        <v>483</v>
      </c>
      <c r="C59" s="1" t="s">
        <v>51</v>
      </c>
      <c r="D59" s="1" t="s">
        <v>409</v>
      </c>
      <c r="E59" s="1" t="s">
        <v>484</v>
      </c>
      <c r="F59" s="1" t="s">
        <v>485</v>
      </c>
      <c r="G59" s="1" t="s">
        <v>369</v>
      </c>
      <c r="H59" s="1" t="s">
        <v>55</v>
      </c>
      <c r="I59" s="1" t="s">
        <v>56</v>
      </c>
      <c r="J59" s="1">
        <v>2001.0</v>
      </c>
      <c r="K59" s="1" t="s">
        <v>31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1">
        <v>1.1000229E7</v>
      </c>
      <c r="B60" s="1" t="s">
        <v>492</v>
      </c>
      <c r="C60" s="1" t="s">
        <v>51</v>
      </c>
      <c r="D60" s="1" t="s">
        <v>493</v>
      </c>
      <c r="E60" s="1" t="s">
        <v>494</v>
      </c>
      <c r="F60" s="1" t="s">
        <v>495</v>
      </c>
      <c r="G60" s="1" t="s">
        <v>369</v>
      </c>
      <c r="H60" s="1" t="s">
        <v>55</v>
      </c>
      <c r="I60" s="1" t="s">
        <v>56</v>
      </c>
      <c r="J60" s="1">
        <v>2001.0</v>
      </c>
      <c r="K60" s="1" t="s">
        <v>31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1">
        <v>1.1000249E7</v>
      </c>
      <c r="B61" s="1" t="s">
        <v>501</v>
      </c>
      <c r="C61" s="1" t="s">
        <v>51</v>
      </c>
      <c r="D61" s="1" t="s">
        <v>502</v>
      </c>
      <c r="E61" s="1" t="s">
        <v>503</v>
      </c>
      <c r="F61" s="1" t="s">
        <v>504</v>
      </c>
      <c r="G61" s="1" t="s">
        <v>369</v>
      </c>
      <c r="H61" s="1" t="s">
        <v>55</v>
      </c>
      <c r="I61" s="1" t="s">
        <v>56</v>
      </c>
      <c r="J61" s="1">
        <v>2001.0</v>
      </c>
      <c r="K61" s="1" t="s">
        <v>31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1">
        <v>1.1000252E7</v>
      </c>
      <c r="B62" s="1" t="s">
        <v>505</v>
      </c>
      <c r="C62" s="1" t="s">
        <v>51</v>
      </c>
      <c r="D62" s="1" t="s">
        <v>395</v>
      </c>
      <c r="E62" s="1" t="s">
        <v>506</v>
      </c>
      <c r="F62" s="1" t="s">
        <v>507</v>
      </c>
      <c r="G62" s="1" t="s">
        <v>369</v>
      </c>
      <c r="H62" s="1" t="s">
        <v>55</v>
      </c>
      <c r="I62" s="1" t="s">
        <v>56</v>
      </c>
      <c r="J62" s="1">
        <v>2001.0</v>
      </c>
      <c r="K62" s="1" t="s">
        <v>31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1">
        <v>1.1000254E7</v>
      </c>
      <c r="B63" s="1" t="s">
        <v>477</v>
      </c>
      <c r="C63" s="1" t="s">
        <v>51</v>
      </c>
      <c r="D63" s="1" t="s">
        <v>513</v>
      </c>
      <c r="E63" s="1" t="s">
        <v>514</v>
      </c>
      <c r="F63" s="1" t="s">
        <v>515</v>
      </c>
      <c r="G63" s="1" t="s">
        <v>369</v>
      </c>
      <c r="H63" s="1" t="s">
        <v>55</v>
      </c>
      <c r="I63" s="1" t="s">
        <v>56</v>
      </c>
      <c r="J63" s="1">
        <v>2001.0</v>
      </c>
      <c r="K63" s="1" t="s">
        <v>31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">
        <v>1.1000255E7</v>
      </c>
      <c r="B64" s="1" t="s">
        <v>517</v>
      </c>
      <c r="C64" s="1" t="s">
        <v>51</v>
      </c>
      <c r="D64" s="1" t="s">
        <v>513</v>
      </c>
      <c r="E64" s="1" t="s">
        <v>518</v>
      </c>
      <c r="F64" s="1" t="s">
        <v>519</v>
      </c>
      <c r="G64" s="1" t="s">
        <v>369</v>
      </c>
      <c r="H64" s="1" t="s">
        <v>55</v>
      </c>
      <c r="I64" s="1" t="s">
        <v>56</v>
      </c>
      <c r="J64" s="1">
        <v>2001.0</v>
      </c>
      <c r="K64" s="1" t="s">
        <v>31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1">
        <v>1.1000256E7</v>
      </c>
      <c r="B65" s="1" t="s">
        <v>523</v>
      </c>
      <c r="C65" s="1" t="s">
        <v>51</v>
      </c>
      <c r="D65" s="1" t="s">
        <v>525</v>
      </c>
      <c r="E65" s="1" t="s">
        <v>526</v>
      </c>
      <c r="F65" s="1" t="s">
        <v>485</v>
      </c>
      <c r="G65" s="1" t="s">
        <v>369</v>
      </c>
      <c r="H65" s="1" t="s">
        <v>55</v>
      </c>
      <c r="I65" s="1" t="s">
        <v>56</v>
      </c>
      <c r="J65" s="1">
        <v>2001.0</v>
      </c>
      <c r="K65" s="1" t="s">
        <v>31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">
        <v>1.1000257E7</v>
      </c>
      <c r="B66" s="1" t="s">
        <v>527</v>
      </c>
      <c r="C66" s="1" t="s">
        <v>51</v>
      </c>
      <c r="D66" s="1" t="s">
        <v>528</v>
      </c>
      <c r="E66" s="1" t="s">
        <v>529</v>
      </c>
      <c r="F66" s="1" t="s">
        <v>530</v>
      </c>
      <c r="G66" s="1" t="s">
        <v>369</v>
      </c>
      <c r="H66" s="1" t="s">
        <v>55</v>
      </c>
      <c r="I66" s="1" t="s">
        <v>56</v>
      </c>
      <c r="J66" s="1">
        <v>2001.0</v>
      </c>
      <c r="K66" s="1" t="s">
        <v>31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1">
        <v>1.1000269E7</v>
      </c>
      <c r="B67" s="1" t="s">
        <v>535</v>
      </c>
      <c r="C67" s="1" t="s">
        <v>51</v>
      </c>
      <c r="D67" s="1" t="s">
        <v>536</v>
      </c>
      <c r="E67" s="1" t="s">
        <v>537</v>
      </c>
      <c r="F67" s="1" t="s">
        <v>539</v>
      </c>
      <c r="G67" s="1" t="s">
        <v>369</v>
      </c>
      <c r="H67" s="1" t="s">
        <v>55</v>
      </c>
      <c r="I67" s="1" t="s">
        <v>56</v>
      </c>
      <c r="J67" s="1">
        <v>2001.0</v>
      </c>
      <c r="K67" s="1" t="s">
        <v>31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1">
        <v>1.100027E7</v>
      </c>
      <c r="B68" s="1" t="s">
        <v>540</v>
      </c>
      <c r="C68" s="1" t="s">
        <v>51</v>
      </c>
      <c r="D68" s="1" t="s">
        <v>536</v>
      </c>
      <c r="E68" s="1" t="s">
        <v>542</v>
      </c>
      <c r="F68" s="1" t="s">
        <v>544</v>
      </c>
      <c r="G68" s="1" t="s">
        <v>369</v>
      </c>
      <c r="H68" s="1" t="s">
        <v>55</v>
      </c>
      <c r="I68" s="1" t="s">
        <v>56</v>
      </c>
      <c r="J68" s="1">
        <v>2001.0</v>
      </c>
      <c r="K68" s="1" t="s">
        <v>31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1">
        <v>1.1000271E7</v>
      </c>
      <c r="B69" s="1" t="s">
        <v>552</v>
      </c>
      <c r="C69" s="1" t="s">
        <v>51</v>
      </c>
      <c r="D69" s="1" t="s">
        <v>536</v>
      </c>
      <c r="E69" s="1" t="s">
        <v>553</v>
      </c>
      <c r="F69" s="1" t="s">
        <v>554</v>
      </c>
      <c r="G69" s="1" t="s">
        <v>369</v>
      </c>
      <c r="H69" s="1" t="s">
        <v>55</v>
      </c>
      <c r="I69" s="1" t="s">
        <v>56</v>
      </c>
      <c r="J69" s="1">
        <v>2001.0</v>
      </c>
      <c r="K69" s="1" t="s">
        <v>31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1">
        <v>1.1000272E7</v>
      </c>
      <c r="B70" s="1" t="s">
        <v>555</v>
      </c>
      <c r="C70" s="1" t="s">
        <v>51</v>
      </c>
      <c r="D70" s="1" t="s">
        <v>536</v>
      </c>
      <c r="E70" s="1" t="s">
        <v>556</v>
      </c>
      <c r="F70" s="1" t="s">
        <v>554</v>
      </c>
      <c r="G70" s="1" t="s">
        <v>369</v>
      </c>
      <c r="H70" s="1" t="s">
        <v>55</v>
      </c>
      <c r="I70" s="1" t="s">
        <v>56</v>
      </c>
      <c r="J70" s="1">
        <v>2001.0</v>
      </c>
      <c r="K70" s="1" t="s">
        <v>31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1">
        <v>1.1000273E7</v>
      </c>
      <c r="B71" s="1" t="s">
        <v>563</v>
      </c>
      <c r="C71" s="1" t="s">
        <v>51</v>
      </c>
      <c r="D71" s="1" t="s">
        <v>565</v>
      </c>
      <c r="E71" s="1" t="s">
        <v>567</v>
      </c>
      <c r="F71" s="1" t="s">
        <v>568</v>
      </c>
      <c r="G71" s="1" t="s">
        <v>369</v>
      </c>
      <c r="H71" s="1" t="s">
        <v>55</v>
      </c>
      <c r="I71" s="1" t="s">
        <v>56</v>
      </c>
      <c r="J71" s="1">
        <v>2001.0</v>
      </c>
      <c r="K71" s="1" t="s">
        <v>31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1">
        <v>1.1000288E7</v>
      </c>
      <c r="B72" s="1" t="s">
        <v>569</v>
      </c>
      <c r="C72" s="1" t="s">
        <v>51</v>
      </c>
      <c r="D72" s="1" t="s">
        <v>570</v>
      </c>
      <c r="E72" s="1" t="s">
        <v>571</v>
      </c>
      <c r="F72" s="1" t="s">
        <v>572</v>
      </c>
      <c r="G72" s="1" t="s">
        <v>369</v>
      </c>
      <c r="H72" s="1" t="s">
        <v>55</v>
      </c>
      <c r="I72" s="1" t="s">
        <v>56</v>
      </c>
      <c r="J72" s="1">
        <v>2001.0</v>
      </c>
      <c r="K72" s="1" t="s">
        <v>31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1">
        <v>1.1000289E7</v>
      </c>
      <c r="B73" s="1" t="s">
        <v>577</v>
      </c>
      <c r="C73" s="1" t="s">
        <v>51</v>
      </c>
      <c r="D73" s="1" t="s">
        <v>578</v>
      </c>
      <c r="E73" s="1" t="s">
        <v>580</v>
      </c>
      <c r="F73" s="1" t="s">
        <v>582</v>
      </c>
      <c r="G73" s="1" t="s">
        <v>369</v>
      </c>
      <c r="H73" s="1" t="s">
        <v>55</v>
      </c>
      <c r="I73" s="1" t="s">
        <v>56</v>
      </c>
      <c r="J73" s="1">
        <v>2001.0</v>
      </c>
      <c r="K73" s="1" t="s">
        <v>31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1">
        <v>1.1000291E7</v>
      </c>
      <c r="B74" s="1" t="s">
        <v>585</v>
      </c>
      <c r="C74" s="1" t="s">
        <v>51</v>
      </c>
      <c r="D74" s="1" t="s">
        <v>586</v>
      </c>
      <c r="E74" s="1" t="s">
        <v>587</v>
      </c>
      <c r="F74" s="1" t="s">
        <v>588</v>
      </c>
      <c r="G74" s="1" t="s">
        <v>369</v>
      </c>
      <c r="H74" s="1" t="s">
        <v>55</v>
      </c>
      <c r="I74" s="1" t="s">
        <v>56</v>
      </c>
      <c r="J74" s="1">
        <v>2001.0</v>
      </c>
      <c r="K74" s="1" t="s">
        <v>31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">
        <v>1.1000292E7</v>
      </c>
      <c r="B75" s="1" t="s">
        <v>589</v>
      </c>
      <c r="C75" s="1" t="s">
        <v>51</v>
      </c>
      <c r="D75" s="1" t="s">
        <v>592</v>
      </c>
      <c r="E75" s="1" t="s">
        <v>594</v>
      </c>
      <c r="F75" s="1" t="s">
        <v>595</v>
      </c>
      <c r="G75" s="1" t="s">
        <v>369</v>
      </c>
      <c r="H75" s="1" t="s">
        <v>55</v>
      </c>
      <c r="I75" s="1" t="s">
        <v>56</v>
      </c>
      <c r="J75" s="1">
        <v>2001.0</v>
      </c>
      <c r="K75" s="1" t="s">
        <v>31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">
        <v>1.1000293E7</v>
      </c>
      <c r="B76" s="1" t="s">
        <v>599</v>
      </c>
      <c r="C76" s="1" t="s">
        <v>51</v>
      </c>
      <c r="D76" s="1" t="s">
        <v>600</v>
      </c>
      <c r="E76" s="1" t="s">
        <v>601</v>
      </c>
      <c r="F76" s="1" t="s">
        <v>602</v>
      </c>
      <c r="G76" s="1" t="s">
        <v>369</v>
      </c>
      <c r="H76" s="1" t="s">
        <v>55</v>
      </c>
      <c r="I76" s="1" t="s">
        <v>56</v>
      </c>
      <c r="J76" s="1">
        <v>2001.0</v>
      </c>
      <c r="K76" s="1" t="s">
        <v>31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">
        <v>1.1000301E7</v>
      </c>
      <c r="B77" s="1" t="s">
        <v>603</v>
      </c>
      <c r="C77" s="1" t="s">
        <v>51</v>
      </c>
      <c r="D77" s="1" t="s">
        <v>592</v>
      </c>
      <c r="E77" s="1" t="s">
        <v>604</v>
      </c>
      <c r="F77" s="1" t="s">
        <v>606</v>
      </c>
      <c r="G77" s="1" t="s">
        <v>369</v>
      </c>
      <c r="H77" s="1" t="s">
        <v>55</v>
      </c>
      <c r="I77" s="1" t="s">
        <v>56</v>
      </c>
      <c r="J77" s="1">
        <v>2001.0</v>
      </c>
      <c r="K77" s="1" t="s">
        <v>31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">
        <v>1.1000302E7</v>
      </c>
      <c r="B78" s="1" t="s">
        <v>337</v>
      </c>
      <c r="C78" s="1" t="s">
        <v>51</v>
      </c>
      <c r="D78" s="1" t="s">
        <v>613</v>
      </c>
      <c r="E78" s="1" t="s">
        <v>614</v>
      </c>
      <c r="F78" s="1" t="s">
        <v>615</v>
      </c>
      <c r="G78" s="1" t="s">
        <v>369</v>
      </c>
      <c r="H78" s="1" t="s">
        <v>55</v>
      </c>
      <c r="I78" s="1" t="s">
        <v>56</v>
      </c>
      <c r="J78" s="1">
        <v>2001.0</v>
      </c>
      <c r="K78" s="1" t="s">
        <v>31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1">
        <v>1.1000303E7</v>
      </c>
      <c r="B79" s="1" t="s">
        <v>621</v>
      </c>
      <c r="C79" s="1" t="s">
        <v>51</v>
      </c>
      <c r="D79" s="1" t="s">
        <v>449</v>
      </c>
      <c r="E79" s="1" t="s">
        <v>622</v>
      </c>
      <c r="F79" s="1" t="s">
        <v>31</v>
      </c>
      <c r="G79" s="1" t="s">
        <v>369</v>
      </c>
      <c r="H79" s="1" t="s">
        <v>55</v>
      </c>
      <c r="I79" s="1" t="s">
        <v>56</v>
      </c>
      <c r="J79" s="1">
        <v>2001.0</v>
      </c>
      <c r="K79" s="1" t="s">
        <v>31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1">
        <v>1.1000304E7</v>
      </c>
      <c r="B80" s="1" t="s">
        <v>624</v>
      </c>
      <c r="C80" s="1" t="s">
        <v>51</v>
      </c>
      <c r="D80" s="1" t="s">
        <v>625</v>
      </c>
      <c r="E80" s="1" t="s">
        <v>31</v>
      </c>
      <c r="F80" s="1" t="s">
        <v>31</v>
      </c>
      <c r="G80" s="1" t="s">
        <v>369</v>
      </c>
      <c r="H80" s="1" t="s">
        <v>55</v>
      </c>
      <c r="I80" s="1" t="s">
        <v>56</v>
      </c>
      <c r="J80" s="1">
        <v>2001.0</v>
      </c>
      <c r="K80" s="1" t="s">
        <v>31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">
        <v>1.1000309E7</v>
      </c>
      <c r="B81" s="1" t="s">
        <v>631</v>
      </c>
      <c r="C81" s="1" t="s">
        <v>51</v>
      </c>
      <c r="D81" s="1" t="s">
        <v>632</v>
      </c>
      <c r="E81" s="1" t="s">
        <v>31</v>
      </c>
      <c r="F81" s="1" t="s">
        <v>633</v>
      </c>
      <c r="G81" s="1" t="s">
        <v>369</v>
      </c>
      <c r="H81" s="1" t="s">
        <v>55</v>
      </c>
      <c r="I81" s="1" t="s">
        <v>56</v>
      </c>
      <c r="J81" s="1">
        <v>2001.0</v>
      </c>
      <c r="K81" s="1" t="s">
        <v>31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1">
        <v>1.100031E7</v>
      </c>
      <c r="B82" s="1" t="s">
        <v>635</v>
      </c>
      <c r="C82" s="1" t="s">
        <v>51</v>
      </c>
      <c r="D82" s="1" t="s">
        <v>636</v>
      </c>
      <c r="E82" s="1" t="s">
        <v>637</v>
      </c>
      <c r="F82" s="1" t="s">
        <v>638</v>
      </c>
      <c r="G82" s="1" t="s">
        <v>369</v>
      </c>
      <c r="H82" s="1" t="s">
        <v>55</v>
      </c>
      <c r="I82" s="1" t="s">
        <v>56</v>
      </c>
      <c r="J82" s="1">
        <v>2001.0</v>
      </c>
      <c r="K82" s="1" t="s">
        <v>31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1">
        <v>1.1000311E7</v>
      </c>
      <c r="B83" s="1" t="s">
        <v>644</v>
      </c>
      <c r="C83" s="1" t="s">
        <v>51</v>
      </c>
      <c r="D83" s="1" t="s">
        <v>636</v>
      </c>
      <c r="E83" s="1" t="s">
        <v>646</v>
      </c>
      <c r="F83" s="1" t="s">
        <v>638</v>
      </c>
      <c r="G83" s="1" t="s">
        <v>369</v>
      </c>
      <c r="H83" s="1" t="s">
        <v>55</v>
      </c>
      <c r="I83" s="1" t="s">
        <v>56</v>
      </c>
      <c r="J83" s="1">
        <v>2001.0</v>
      </c>
      <c r="K83" s="1" t="s">
        <v>31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">
        <v>1.1000312E7</v>
      </c>
      <c r="B84" s="1" t="s">
        <v>652</v>
      </c>
      <c r="C84" s="1" t="s">
        <v>51</v>
      </c>
      <c r="D84" s="1" t="s">
        <v>636</v>
      </c>
      <c r="E84" s="1" t="s">
        <v>654</v>
      </c>
      <c r="F84" s="1" t="s">
        <v>638</v>
      </c>
      <c r="G84" s="1" t="s">
        <v>369</v>
      </c>
      <c r="H84" s="1" t="s">
        <v>55</v>
      </c>
      <c r="I84" s="1" t="s">
        <v>56</v>
      </c>
      <c r="J84" s="1">
        <v>2001.0</v>
      </c>
      <c r="K84" s="1" t="s">
        <v>31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">
        <v>1.1000313E7</v>
      </c>
      <c r="B85" s="1" t="s">
        <v>657</v>
      </c>
      <c r="C85" s="1" t="s">
        <v>51</v>
      </c>
      <c r="D85" s="1" t="s">
        <v>636</v>
      </c>
      <c r="E85" s="1" t="s">
        <v>658</v>
      </c>
      <c r="F85" s="1" t="s">
        <v>638</v>
      </c>
      <c r="G85" s="1" t="s">
        <v>369</v>
      </c>
      <c r="H85" s="1" t="s">
        <v>55</v>
      </c>
      <c r="I85" s="1" t="s">
        <v>56</v>
      </c>
      <c r="J85" s="1">
        <v>2001.0</v>
      </c>
      <c r="K85" s="1" t="s">
        <v>31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1">
        <v>1.1000315E7</v>
      </c>
      <c r="B86" s="1" t="s">
        <v>661</v>
      </c>
      <c r="C86" s="1" t="s">
        <v>51</v>
      </c>
      <c r="D86" s="1" t="s">
        <v>664</v>
      </c>
      <c r="E86" s="1" t="s">
        <v>665</v>
      </c>
      <c r="F86" s="1" t="s">
        <v>666</v>
      </c>
      <c r="G86" s="1" t="s">
        <v>369</v>
      </c>
      <c r="H86" s="1" t="s">
        <v>55</v>
      </c>
      <c r="I86" s="1" t="s">
        <v>56</v>
      </c>
      <c r="J86" s="1">
        <v>2001.0</v>
      </c>
      <c r="K86" s="1" t="s">
        <v>31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1">
        <v>1.1000316E7</v>
      </c>
      <c r="B87" s="1" t="s">
        <v>488</v>
      </c>
      <c r="C87" s="1" t="s">
        <v>51</v>
      </c>
      <c r="D87" s="1" t="s">
        <v>667</v>
      </c>
      <c r="E87" s="1" t="s">
        <v>668</v>
      </c>
      <c r="F87" s="1" t="s">
        <v>669</v>
      </c>
      <c r="G87" s="1" t="s">
        <v>369</v>
      </c>
      <c r="H87" s="1" t="s">
        <v>55</v>
      </c>
      <c r="I87" s="1" t="s">
        <v>56</v>
      </c>
      <c r="J87" s="1">
        <v>2001.0</v>
      </c>
      <c r="K87" s="1" t="s">
        <v>31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1">
        <v>1.1000317E7</v>
      </c>
      <c r="B88" s="1" t="s">
        <v>674</v>
      </c>
      <c r="C88" s="1" t="s">
        <v>51</v>
      </c>
      <c r="D88" s="1" t="s">
        <v>667</v>
      </c>
      <c r="E88" s="1" t="s">
        <v>676</v>
      </c>
      <c r="F88" s="1" t="s">
        <v>669</v>
      </c>
      <c r="G88" s="1" t="s">
        <v>369</v>
      </c>
      <c r="H88" s="1" t="s">
        <v>55</v>
      </c>
      <c r="I88" s="1" t="s">
        <v>56</v>
      </c>
      <c r="J88" s="1">
        <v>2001.0</v>
      </c>
      <c r="K88" s="1" t="s">
        <v>31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1">
        <v>1.1000318E7</v>
      </c>
      <c r="B89" s="1" t="s">
        <v>510</v>
      </c>
      <c r="C89" s="1" t="s">
        <v>51</v>
      </c>
      <c r="D89" s="1" t="s">
        <v>677</v>
      </c>
      <c r="E89" s="1" t="s">
        <v>680</v>
      </c>
      <c r="F89" s="1" t="s">
        <v>683</v>
      </c>
      <c r="G89" s="1" t="s">
        <v>369</v>
      </c>
      <c r="H89" s="1" t="s">
        <v>55</v>
      </c>
      <c r="I89" s="1" t="s">
        <v>56</v>
      </c>
      <c r="J89" s="1">
        <v>2001.0</v>
      </c>
      <c r="K89" s="1" t="s">
        <v>31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1">
        <v>1.1000319E7</v>
      </c>
      <c r="B90" s="1" t="s">
        <v>688</v>
      </c>
      <c r="C90" s="1" t="s">
        <v>51</v>
      </c>
      <c r="D90" s="1" t="s">
        <v>677</v>
      </c>
      <c r="E90" s="1" t="s">
        <v>689</v>
      </c>
      <c r="F90" s="1" t="s">
        <v>683</v>
      </c>
      <c r="G90" s="1" t="s">
        <v>369</v>
      </c>
      <c r="H90" s="1" t="s">
        <v>55</v>
      </c>
      <c r="I90" s="1" t="s">
        <v>56</v>
      </c>
      <c r="J90" s="1">
        <v>2001.0</v>
      </c>
      <c r="K90" s="1" t="s">
        <v>31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1">
        <v>1.100032E7</v>
      </c>
      <c r="B91" s="1" t="s">
        <v>695</v>
      </c>
      <c r="C91" s="1" t="s">
        <v>51</v>
      </c>
      <c r="D91" s="1" t="s">
        <v>696</v>
      </c>
      <c r="E91" s="1" t="s">
        <v>698</v>
      </c>
      <c r="F91" s="1" t="s">
        <v>700</v>
      </c>
      <c r="G91" s="1" t="s">
        <v>369</v>
      </c>
      <c r="H91" s="1" t="s">
        <v>55</v>
      </c>
      <c r="I91" s="1" t="s">
        <v>56</v>
      </c>
      <c r="J91" s="1">
        <v>2001.0</v>
      </c>
      <c r="K91" s="1" t="s">
        <v>31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1">
        <v>1.1000321E7</v>
      </c>
      <c r="B92" s="1" t="s">
        <v>709</v>
      </c>
      <c r="C92" s="1" t="s">
        <v>51</v>
      </c>
      <c r="D92" s="1" t="s">
        <v>667</v>
      </c>
      <c r="E92" s="1" t="s">
        <v>713</v>
      </c>
      <c r="F92" s="1" t="s">
        <v>669</v>
      </c>
      <c r="G92" s="1" t="s">
        <v>369</v>
      </c>
      <c r="H92" s="1" t="s">
        <v>55</v>
      </c>
      <c r="I92" s="1" t="s">
        <v>56</v>
      </c>
      <c r="J92" s="1">
        <v>2001.0</v>
      </c>
      <c r="K92" s="1" t="s">
        <v>31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1">
        <v>1.1000322E7</v>
      </c>
      <c r="B93" s="1" t="s">
        <v>127</v>
      </c>
      <c r="C93" s="1" t="s">
        <v>51</v>
      </c>
      <c r="D93" s="1" t="s">
        <v>696</v>
      </c>
      <c r="E93" s="1" t="s">
        <v>722</v>
      </c>
      <c r="F93" s="1" t="s">
        <v>723</v>
      </c>
      <c r="G93" s="1" t="s">
        <v>369</v>
      </c>
      <c r="H93" s="1" t="s">
        <v>55</v>
      </c>
      <c r="I93" s="1" t="s">
        <v>56</v>
      </c>
      <c r="J93" s="1">
        <v>2001.0</v>
      </c>
      <c r="K93" s="1" t="s">
        <v>31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1">
        <v>1.1000323E7</v>
      </c>
      <c r="B94" s="1" t="s">
        <v>725</v>
      </c>
      <c r="C94" s="1" t="s">
        <v>51</v>
      </c>
      <c r="D94" s="1" t="s">
        <v>536</v>
      </c>
      <c r="E94" s="1" t="s">
        <v>726</v>
      </c>
      <c r="F94" s="1" t="s">
        <v>669</v>
      </c>
      <c r="G94" s="1" t="s">
        <v>369</v>
      </c>
      <c r="H94" s="1" t="s">
        <v>55</v>
      </c>
      <c r="I94" s="1" t="s">
        <v>56</v>
      </c>
      <c r="J94" s="1">
        <v>2001.0</v>
      </c>
      <c r="K94" s="1" t="s">
        <v>31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1">
        <v>1.1000324E7</v>
      </c>
      <c r="B95" s="1" t="s">
        <v>739</v>
      </c>
      <c r="C95" s="1" t="s">
        <v>51</v>
      </c>
      <c r="D95" s="1" t="s">
        <v>742</v>
      </c>
      <c r="E95" s="1" t="s">
        <v>744</v>
      </c>
      <c r="F95" s="1" t="s">
        <v>746</v>
      </c>
      <c r="G95" s="1" t="s">
        <v>369</v>
      </c>
      <c r="H95" s="1" t="s">
        <v>55</v>
      </c>
      <c r="I95" s="1" t="s">
        <v>56</v>
      </c>
      <c r="J95" s="1">
        <v>2001.0</v>
      </c>
      <c r="K95" s="1" t="s">
        <v>31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1">
        <v>1.1000325E7</v>
      </c>
      <c r="B96" s="1" t="s">
        <v>681</v>
      </c>
      <c r="C96" s="1" t="s">
        <v>51</v>
      </c>
      <c r="D96" s="1" t="s">
        <v>395</v>
      </c>
      <c r="E96" s="1" t="s">
        <v>749</v>
      </c>
      <c r="F96" s="1" t="s">
        <v>750</v>
      </c>
      <c r="G96" s="1" t="s">
        <v>369</v>
      </c>
      <c r="H96" s="1" t="s">
        <v>55</v>
      </c>
      <c r="I96" s="1" t="s">
        <v>56</v>
      </c>
      <c r="J96" s="1">
        <v>2001.0</v>
      </c>
      <c r="K96" s="1" t="s">
        <v>31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1">
        <v>1.1000326E7</v>
      </c>
      <c r="B97" s="1" t="s">
        <v>757</v>
      </c>
      <c r="C97" s="1" t="s">
        <v>51</v>
      </c>
      <c r="D97" s="1" t="s">
        <v>525</v>
      </c>
      <c r="E97" s="1" t="s">
        <v>759</v>
      </c>
      <c r="F97" s="1" t="s">
        <v>760</v>
      </c>
      <c r="G97" s="1" t="s">
        <v>369</v>
      </c>
      <c r="H97" s="1" t="s">
        <v>55</v>
      </c>
      <c r="I97" s="1" t="s">
        <v>56</v>
      </c>
      <c r="J97" s="1">
        <v>2001.0</v>
      </c>
      <c r="K97" s="1" t="s">
        <v>31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1">
        <v>1.1000327E7</v>
      </c>
      <c r="B98" s="1" t="s">
        <v>533</v>
      </c>
      <c r="C98" s="1" t="s">
        <v>51</v>
      </c>
      <c r="D98" s="1" t="s">
        <v>525</v>
      </c>
      <c r="E98" s="1" t="s">
        <v>763</v>
      </c>
      <c r="F98" s="1" t="s">
        <v>764</v>
      </c>
      <c r="G98" s="1" t="s">
        <v>369</v>
      </c>
      <c r="H98" s="1" t="s">
        <v>55</v>
      </c>
      <c r="I98" s="1" t="s">
        <v>56</v>
      </c>
      <c r="J98" s="1">
        <v>2001.0</v>
      </c>
      <c r="K98" s="1" t="s">
        <v>31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1">
        <v>1.1000333E7</v>
      </c>
      <c r="B99" s="1" t="s">
        <v>765</v>
      </c>
      <c r="C99" s="1" t="s">
        <v>51</v>
      </c>
      <c r="D99" s="1" t="s">
        <v>613</v>
      </c>
      <c r="E99" s="1" t="s">
        <v>782</v>
      </c>
      <c r="F99" s="1" t="s">
        <v>784</v>
      </c>
      <c r="G99" s="1" t="s">
        <v>369</v>
      </c>
      <c r="H99" s="1" t="s">
        <v>55</v>
      </c>
      <c r="I99" s="1" t="s">
        <v>56</v>
      </c>
      <c r="J99" s="1">
        <v>2001.0</v>
      </c>
      <c r="K99" s="1" t="s">
        <v>31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1">
        <v>1.1000339E7</v>
      </c>
      <c r="B100" s="1" t="s">
        <v>794</v>
      </c>
      <c r="C100" s="1" t="s">
        <v>51</v>
      </c>
      <c r="D100" s="1" t="s">
        <v>613</v>
      </c>
      <c r="E100" s="1" t="s">
        <v>796</v>
      </c>
      <c r="F100" s="1" t="s">
        <v>797</v>
      </c>
      <c r="G100" s="1" t="s">
        <v>369</v>
      </c>
      <c r="H100" s="1" t="s">
        <v>55</v>
      </c>
      <c r="I100" s="1" t="s">
        <v>56</v>
      </c>
      <c r="J100" s="1">
        <v>2001.0</v>
      </c>
      <c r="K100" s="1" t="s">
        <v>31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1">
        <v>1.1000342E7</v>
      </c>
      <c r="B101" s="1" t="s">
        <v>798</v>
      </c>
      <c r="C101" s="1" t="s">
        <v>51</v>
      </c>
      <c r="D101" s="1" t="s">
        <v>799</v>
      </c>
      <c r="E101" s="1" t="s">
        <v>31</v>
      </c>
      <c r="F101" s="1" t="s">
        <v>31</v>
      </c>
      <c r="G101" s="1" t="s">
        <v>369</v>
      </c>
      <c r="H101" s="1" t="s">
        <v>55</v>
      </c>
      <c r="I101" s="1" t="s">
        <v>56</v>
      </c>
      <c r="J101" s="1">
        <v>2001.0</v>
      </c>
      <c r="K101" s="1" t="s">
        <v>31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1">
        <v>1.1000349E7</v>
      </c>
      <c r="B102" s="1" t="s">
        <v>805</v>
      </c>
      <c r="C102" s="1" t="s">
        <v>51</v>
      </c>
      <c r="D102" s="1" t="s">
        <v>807</v>
      </c>
      <c r="E102" s="1" t="s">
        <v>808</v>
      </c>
      <c r="F102" s="1" t="s">
        <v>809</v>
      </c>
      <c r="G102" s="1" t="s">
        <v>31</v>
      </c>
      <c r="H102" s="1" t="s">
        <v>55</v>
      </c>
      <c r="I102" s="1" t="s">
        <v>56</v>
      </c>
      <c r="J102" s="1">
        <v>2001.0</v>
      </c>
      <c r="K102" s="1" t="s">
        <v>31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1">
        <v>1.1000359E7</v>
      </c>
      <c r="B103" s="1" t="s">
        <v>813</v>
      </c>
      <c r="C103" s="1" t="s">
        <v>51</v>
      </c>
      <c r="D103" s="1" t="s">
        <v>815</v>
      </c>
      <c r="E103" s="32" t="s">
        <v>817</v>
      </c>
      <c r="F103" s="32" t="s">
        <v>817</v>
      </c>
      <c r="G103" s="1" t="s">
        <v>369</v>
      </c>
      <c r="H103" s="1" t="s">
        <v>55</v>
      </c>
      <c r="I103" s="1" t="s">
        <v>56</v>
      </c>
      <c r="J103" s="1">
        <v>2001.0</v>
      </c>
      <c r="K103" s="1" t="s">
        <v>31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1">
        <v>1.1000377E7</v>
      </c>
      <c r="B104" s="1" t="s">
        <v>825</v>
      </c>
      <c r="C104" s="1" t="s">
        <v>51</v>
      </c>
      <c r="D104" s="1" t="s">
        <v>826</v>
      </c>
      <c r="E104" s="1" t="s">
        <v>827</v>
      </c>
      <c r="F104" s="1" t="s">
        <v>829</v>
      </c>
      <c r="G104" s="1" t="s">
        <v>31</v>
      </c>
      <c r="H104" s="1" t="s">
        <v>55</v>
      </c>
      <c r="I104" s="1" t="s">
        <v>56</v>
      </c>
      <c r="J104" s="1">
        <v>1041.0</v>
      </c>
      <c r="K104" s="1" t="s">
        <v>31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1">
        <v>1.1000378E7</v>
      </c>
      <c r="B105" s="1" t="s">
        <v>833</v>
      </c>
      <c r="C105" s="1" t="s">
        <v>51</v>
      </c>
      <c r="D105" s="1" t="s">
        <v>826</v>
      </c>
      <c r="E105" s="1" t="s">
        <v>835</v>
      </c>
      <c r="F105" s="1" t="s">
        <v>837</v>
      </c>
      <c r="G105" s="1" t="s">
        <v>31</v>
      </c>
      <c r="H105" s="1" t="s">
        <v>55</v>
      </c>
      <c r="I105" s="1" t="s">
        <v>56</v>
      </c>
      <c r="J105" s="1">
        <v>1041.0</v>
      </c>
      <c r="K105" s="1" t="s">
        <v>31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1">
        <v>1.1000379E7</v>
      </c>
      <c r="B106" s="1" t="s">
        <v>386</v>
      </c>
      <c r="C106" s="1" t="s">
        <v>51</v>
      </c>
      <c r="D106" s="1" t="s">
        <v>826</v>
      </c>
      <c r="E106" s="1" t="s">
        <v>845</v>
      </c>
      <c r="F106" s="1" t="s">
        <v>837</v>
      </c>
      <c r="G106" s="1" t="s">
        <v>31</v>
      </c>
      <c r="H106" s="1" t="s">
        <v>55</v>
      </c>
      <c r="I106" s="1" t="s">
        <v>56</v>
      </c>
      <c r="J106" s="1">
        <v>1041.0</v>
      </c>
      <c r="K106" s="1" t="s">
        <v>31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1">
        <v>1.100038E7</v>
      </c>
      <c r="B107" s="1" t="s">
        <v>545</v>
      </c>
      <c r="C107" s="1" t="s">
        <v>51</v>
      </c>
      <c r="D107" s="1" t="s">
        <v>826</v>
      </c>
      <c r="E107" s="1" t="s">
        <v>845</v>
      </c>
      <c r="F107" s="1" t="s">
        <v>837</v>
      </c>
      <c r="G107" s="1" t="s">
        <v>31</v>
      </c>
      <c r="H107" s="1" t="s">
        <v>55</v>
      </c>
      <c r="I107" s="1" t="s">
        <v>56</v>
      </c>
      <c r="J107" s="1">
        <v>1041.0</v>
      </c>
      <c r="K107" s="1" t="s">
        <v>31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1">
        <v>1.1000382E7</v>
      </c>
      <c r="B108" s="1" t="s">
        <v>559</v>
      </c>
      <c r="C108" s="1" t="s">
        <v>51</v>
      </c>
      <c r="D108" s="1" t="s">
        <v>826</v>
      </c>
      <c r="E108" s="1" t="s">
        <v>858</v>
      </c>
      <c r="F108" s="1" t="s">
        <v>837</v>
      </c>
      <c r="G108" s="1" t="s">
        <v>31</v>
      </c>
      <c r="H108" s="1" t="s">
        <v>55</v>
      </c>
      <c r="I108" s="1" t="s">
        <v>56</v>
      </c>
      <c r="J108" s="1">
        <v>1041.0</v>
      </c>
      <c r="K108" s="1" t="s">
        <v>31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1">
        <v>1.1000383E7</v>
      </c>
      <c r="B109" s="1" t="s">
        <v>861</v>
      </c>
      <c r="C109" s="1" t="s">
        <v>51</v>
      </c>
      <c r="D109" s="1" t="s">
        <v>826</v>
      </c>
      <c r="E109" s="1" t="s">
        <v>864</v>
      </c>
      <c r="F109" s="1" t="s">
        <v>837</v>
      </c>
      <c r="G109" s="1" t="s">
        <v>31</v>
      </c>
      <c r="H109" s="1" t="s">
        <v>55</v>
      </c>
      <c r="I109" s="1" t="s">
        <v>56</v>
      </c>
      <c r="J109" s="1">
        <v>1041.0</v>
      </c>
      <c r="K109" s="1" t="s">
        <v>31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1">
        <v>1.1000384E7</v>
      </c>
      <c r="B110" s="1" t="s">
        <v>575</v>
      </c>
      <c r="C110" s="1" t="s">
        <v>51</v>
      </c>
      <c r="D110" s="1" t="s">
        <v>871</v>
      </c>
      <c r="E110" s="1" t="s">
        <v>872</v>
      </c>
      <c r="F110" s="1" t="s">
        <v>873</v>
      </c>
      <c r="G110" s="1" t="s">
        <v>31</v>
      </c>
      <c r="H110" s="1" t="s">
        <v>55</v>
      </c>
      <c r="I110" s="1" t="s">
        <v>56</v>
      </c>
      <c r="J110" s="1">
        <v>1041.0</v>
      </c>
      <c r="K110" s="1" t="s">
        <v>31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1">
        <v>1.1000385E7</v>
      </c>
      <c r="B111" s="1" t="s">
        <v>877</v>
      </c>
      <c r="C111" s="1" t="s">
        <v>51</v>
      </c>
      <c r="D111" s="1" t="s">
        <v>871</v>
      </c>
      <c r="E111" s="1" t="s">
        <v>878</v>
      </c>
      <c r="F111" s="1" t="s">
        <v>873</v>
      </c>
      <c r="G111" s="1" t="s">
        <v>31</v>
      </c>
      <c r="H111" s="1" t="s">
        <v>55</v>
      </c>
      <c r="I111" s="1" t="s">
        <v>56</v>
      </c>
      <c r="J111" s="1">
        <v>1041.0</v>
      </c>
      <c r="K111" s="1" t="s">
        <v>31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1">
        <v>1.1000386E7</v>
      </c>
      <c r="B112" s="1" t="s">
        <v>415</v>
      </c>
      <c r="C112" s="1" t="s">
        <v>51</v>
      </c>
      <c r="D112" s="1" t="s">
        <v>871</v>
      </c>
      <c r="E112" s="1" t="s">
        <v>884</v>
      </c>
      <c r="F112" s="1" t="s">
        <v>873</v>
      </c>
      <c r="G112" s="1" t="s">
        <v>31</v>
      </c>
      <c r="H112" s="1" t="s">
        <v>55</v>
      </c>
      <c r="I112" s="1" t="s">
        <v>56</v>
      </c>
      <c r="J112" s="1">
        <v>1041.0</v>
      </c>
      <c r="K112" s="1" t="s">
        <v>31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1">
        <v>1.1000389E7</v>
      </c>
      <c r="B113" s="1" t="s">
        <v>60</v>
      </c>
      <c r="C113" s="1" t="s">
        <v>51</v>
      </c>
      <c r="D113" s="1" t="s">
        <v>536</v>
      </c>
      <c r="E113" s="1" t="s">
        <v>888</v>
      </c>
      <c r="F113" s="1" t="s">
        <v>889</v>
      </c>
      <c r="G113" s="1" t="s">
        <v>31</v>
      </c>
      <c r="H113" s="1" t="s">
        <v>55</v>
      </c>
      <c r="I113" s="1" t="s">
        <v>56</v>
      </c>
      <c r="J113" s="1">
        <v>1041.0</v>
      </c>
      <c r="K113" s="1" t="s">
        <v>31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1">
        <v>1.100039E7</v>
      </c>
      <c r="B114" s="1" t="s">
        <v>608</v>
      </c>
      <c r="C114" s="1" t="s">
        <v>51</v>
      </c>
      <c r="D114" s="1" t="s">
        <v>536</v>
      </c>
      <c r="E114" s="1" t="s">
        <v>891</v>
      </c>
      <c r="F114" s="1" t="s">
        <v>889</v>
      </c>
      <c r="G114" s="1" t="s">
        <v>31</v>
      </c>
      <c r="H114" s="1" t="s">
        <v>55</v>
      </c>
      <c r="I114" s="1" t="s">
        <v>56</v>
      </c>
      <c r="J114" s="1">
        <v>1041.0</v>
      </c>
      <c r="K114" s="1" t="s">
        <v>31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1">
        <v>1.1000396E7</v>
      </c>
      <c r="B115" s="1" t="s">
        <v>903</v>
      </c>
      <c r="C115" s="1" t="s">
        <v>51</v>
      </c>
      <c r="D115" s="1" t="s">
        <v>904</v>
      </c>
      <c r="E115" s="1" t="s">
        <v>905</v>
      </c>
      <c r="F115" s="1" t="s">
        <v>906</v>
      </c>
      <c r="G115" s="1" t="s">
        <v>31</v>
      </c>
      <c r="H115" s="1" t="s">
        <v>55</v>
      </c>
      <c r="I115" s="1" t="s">
        <v>56</v>
      </c>
      <c r="J115" s="1">
        <v>1041.0</v>
      </c>
      <c r="K115" s="1" t="s">
        <v>31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1">
        <v>1.1000397E7</v>
      </c>
      <c r="B116" s="1" t="s">
        <v>913</v>
      </c>
      <c r="C116" s="1" t="s">
        <v>51</v>
      </c>
      <c r="D116" s="1" t="s">
        <v>904</v>
      </c>
      <c r="E116" s="1" t="s">
        <v>915</v>
      </c>
      <c r="F116" s="1" t="s">
        <v>906</v>
      </c>
      <c r="G116" s="1" t="s">
        <v>31</v>
      </c>
      <c r="H116" s="1" t="s">
        <v>55</v>
      </c>
      <c r="I116" s="1" t="s">
        <v>56</v>
      </c>
      <c r="J116" s="1">
        <v>1041.0</v>
      </c>
      <c r="K116" s="1" t="s">
        <v>31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1">
        <v>1.1000398E7</v>
      </c>
      <c r="B117" s="1" t="s">
        <v>916</v>
      </c>
      <c r="C117" s="1" t="s">
        <v>51</v>
      </c>
      <c r="D117" s="1" t="s">
        <v>904</v>
      </c>
      <c r="E117" s="1" t="s">
        <v>917</v>
      </c>
      <c r="F117" s="1" t="s">
        <v>906</v>
      </c>
      <c r="G117" s="1" t="s">
        <v>31</v>
      </c>
      <c r="H117" s="1" t="s">
        <v>55</v>
      </c>
      <c r="I117" s="1" t="s">
        <v>56</v>
      </c>
      <c r="J117" s="1">
        <v>1041.0</v>
      </c>
      <c r="K117" s="1" t="s">
        <v>31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1">
        <v>1.1000439E7</v>
      </c>
      <c r="B118" s="1" t="s">
        <v>894</v>
      </c>
      <c r="C118" s="1" t="s">
        <v>51</v>
      </c>
      <c r="D118" s="1" t="s">
        <v>826</v>
      </c>
      <c r="E118" s="1" t="s">
        <v>929</v>
      </c>
      <c r="F118" s="1" t="s">
        <v>930</v>
      </c>
      <c r="G118" s="1" t="s">
        <v>31</v>
      </c>
      <c r="H118" s="1" t="s">
        <v>55</v>
      </c>
      <c r="I118" s="1" t="s">
        <v>56</v>
      </c>
      <c r="J118" s="1">
        <v>1041.0</v>
      </c>
      <c r="K118" s="1" t="s">
        <v>31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1">
        <v>1.1000449E7</v>
      </c>
      <c r="B119" s="1" t="s">
        <v>160</v>
      </c>
      <c r="C119" s="1" t="s">
        <v>51</v>
      </c>
      <c r="D119" s="1" t="s">
        <v>940</v>
      </c>
      <c r="E119" s="1" t="s">
        <v>941</v>
      </c>
      <c r="F119" s="1" t="s">
        <v>942</v>
      </c>
      <c r="G119" s="1" t="s">
        <v>31</v>
      </c>
      <c r="H119" s="1" t="s">
        <v>55</v>
      </c>
      <c r="I119" s="1" t="s">
        <v>56</v>
      </c>
      <c r="J119" s="1">
        <v>1041.0</v>
      </c>
      <c r="K119" s="1" t="s">
        <v>31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1">
        <v>1.100045E7</v>
      </c>
      <c r="B120" s="1" t="s">
        <v>945</v>
      </c>
      <c r="C120" s="1" t="s">
        <v>51</v>
      </c>
      <c r="D120" s="1" t="s">
        <v>940</v>
      </c>
      <c r="E120" s="1" t="s">
        <v>947</v>
      </c>
      <c r="F120" s="1" t="s">
        <v>942</v>
      </c>
      <c r="G120" s="1" t="s">
        <v>31</v>
      </c>
      <c r="H120" s="1" t="s">
        <v>55</v>
      </c>
      <c r="I120" s="1" t="s">
        <v>56</v>
      </c>
      <c r="J120" s="1">
        <v>1041.0</v>
      </c>
      <c r="K120" s="1" t="s">
        <v>31</v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1">
        <v>1.1000451E7</v>
      </c>
      <c r="B121" s="1" t="s">
        <v>959</v>
      </c>
      <c r="C121" s="1" t="s">
        <v>51</v>
      </c>
      <c r="D121" s="1" t="s">
        <v>940</v>
      </c>
      <c r="E121" s="1" t="s">
        <v>961</v>
      </c>
      <c r="F121" s="1" t="s">
        <v>942</v>
      </c>
      <c r="G121" s="1" t="s">
        <v>31</v>
      </c>
      <c r="H121" s="1" t="s">
        <v>55</v>
      </c>
      <c r="I121" s="1" t="s">
        <v>56</v>
      </c>
      <c r="J121" s="1">
        <v>1041.0</v>
      </c>
      <c r="K121" s="1" t="s">
        <v>31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1">
        <v>1.1000452E7</v>
      </c>
      <c r="B122" s="1" t="s">
        <v>180</v>
      </c>
      <c r="C122" s="1" t="s">
        <v>51</v>
      </c>
      <c r="D122" s="1" t="s">
        <v>940</v>
      </c>
      <c r="E122" s="1" t="s">
        <v>966</v>
      </c>
      <c r="F122" s="1" t="s">
        <v>968</v>
      </c>
      <c r="G122" s="1" t="s">
        <v>31</v>
      </c>
      <c r="H122" s="1" t="s">
        <v>55</v>
      </c>
      <c r="I122" s="1" t="s">
        <v>56</v>
      </c>
      <c r="J122" s="1">
        <v>1041.0</v>
      </c>
      <c r="K122" s="1" t="s">
        <v>31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1">
        <v>1.1000453E7</v>
      </c>
      <c r="B123" s="1" t="s">
        <v>283</v>
      </c>
      <c r="C123" s="1" t="s">
        <v>51</v>
      </c>
      <c r="D123" s="1" t="s">
        <v>940</v>
      </c>
      <c r="E123" s="1" t="s">
        <v>977</v>
      </c>
      <c r="F123" s="1" t="s">
        <v>978</v>
      </c>
      <c r="G123" s="1" t="s">
        <v>31</v>
      </c>
      <c r="H123" s="1" t="s">
        <v>55</v>
      </c>
      <c r="I123" s="1" t="s">
        <v>56</v>
      </c>
      <c r="J123" s="1">
        <v>1041.0</v>
      </c>
      <c r="K123" s="1" t="s">
        <v>31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1">
        <v>1.1000454E7</v>
      </c>
      <c r="B124" s="1" t="s">
        <v>294</v>
      </c>
      <c r="C124" s="1" t="s">
        <v>51</v>
      </c>
      <c r="D124" s="1" t="s">
        <v>940</v>
      </c>
      <c r="E124" s="1" t="s">
        <v>989</v>
      </c>
      <c r="F124" s="1" t="s">
        <v>978</v>
      </c>
      <c r="G124" s="1" t="s">
        <v>31</v>
      </c>
      <c r="H124" s="1" t="s">
        <v>55</v>
      </c>
      <c r="I124" s="1" t="s">
        <v>56</v>
      </c>
      <c r="J124" s="1">
        <v>1041.0</v>
      </c>
      <c r="K124" s="1" t="s">
        <v>31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1">
        <v>1.1000455E7</v>
      </c>
      <c r="B125" s="1" t="s">
        <v>81</v>
      </c>
      <c r="C125" s="1" t="s">
        <v>51</v>
      </c>
      <c r="D125" s="1" t="s">
        <v>940</v>
      </c>
      <c r="E125" s="1" t="s">
        <v>994</v>
      </c>
      <c r="F125" s="1" t="s">
        <v>978</v>
      </c>
      <c r="G125" s="1" t="s">
        <v>31</v>
      </c>
      <c r="H125" s="1" t="s">
        <v>55</v>
      </c>
      <c r="I125" s="1" t="s">
        <v>56</v>
      </c>
      <c r="J125" s="1">
        <v>1041.0</v>
      </c>
      <c r="K125" s="1" t="s">
        <v>31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1">
        <v>1.1000481E7</v>
      </c>
      <c r="B126" s="1" t="s">
        <v>921</v>
      </c>
      <c r="C126" s="1" t="s">
        <v>51</v>
      </c>
      <c r="D126" s="1" t="s">
        <v>1001</v>
      </c>
      <c r="E126" s="1" t="s">
        <v>1004</v>
      </c>
      <c r="F126" s="1" t="s">
        <v>1001</v>
      </c>
      <c r="G126" s="1" t="s">
        <v>31</v>
      </c>
      <c r="H126" s="1" t="s">
        <v>55</v>
      </c>
      <c r="I126" s="1" t="s">
        <v>56</v>
      </c>
      <c r="J126" s="1">
        <v>1041.0</v>
      </c>
      <c r="K126" s="1" t="s">
        <v>31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1">
        <v>1.1000482E7</v>
      </c>
      <c r="B127" s="1" t="s">
        <v>100</v>
      </c>
      <c r="C127" s="1" t="s">
        <v>51</v>
      </c>
      <c r="D127" s="1" t="s">
        <v>1001</v>
      </c>
      <c r="E127" s="1" t="s">
        <v>1014</v>
      </c>
      <c r="F127" s="1" t="s">
        <v>1001</v>
      </c>
      <c r="G127" s="1" t="s">
        <v>31</v>
      </c>
      <c r="H127" s="1" t="s">
        <v>55</v>
      </c>
      <c r="I127" s="1" t="s">
        <v>56</v>
      </c>
      <c r="J127" s="1">
        <v>1041.0</v>
      </c>
      <c r="K127" s="1" t="s">
        <v>31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1">
        <v>1.1000485E7</v>
      </c>
      <c r="B128" s="1" t="s">
        <v>849</v>
      </c>
      <c r="C128" s="1" t="s">
        <v>51</v>
      </c>
      <c r="D128" s="1" t="s">
        <v>1020</v>
      </c>
      <c r="E128" s="1" t="s">
        <v>1021</v>
      </c>
      <c r="F128" s="1" t="s">
        <v>1023</v>
      </c>
      <c r="G128" s="1" t="s">
        <v>31</v>
      </c>
      <c r="H128" s="1" t="s">
        <v>55</v>
      </c>
      <c r="I128" s="1" t="s">
        <v>56</v>
      </c>
      <c r="J128" s="1">
        <v>1041.0</v>
      </c>
      <c r="K128" s="1" t="s">
        <v>31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1">
        <v>1.1000486E7</v>
      </c>
      <c r="B129" s="1" t="s">
        <v>1036</v>
      </c>
      <c r="C129" s="1" t="s">
        <v>51</v>
      </c>
      <c r="D129" s="1" t="s">
        <v>1020</v>
      </c>
      <c r="E129" s="1" t="s">
        <v>1038</v>
      </c>
      <c r="F129" s="1" t="s">
        <v>1023</v>
      </c>
      <c r="G129" s="1" t="s">
        <v>31</v>
      </c>
      <c r="H129" s="1" t="s">
        <v>55</v>
      </c>
      <c r="I129" s="1" t="s">
        <v>56</v>
      </c>
      <c r="J129" s="1">
        <v>1041.0</v>
      </c>
      <c r="K129" s="1" t="s">
        <v>31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1">
        <v>1.1000493E7</v>
      </c>
      <c r="B130" s="1" t="s">
        <v>206</v>
      </c>
      <c r="C130" s="1" t="s">
        <v>51</v>
      </c>
      <c r="D130" s="1" t="s">
        <v>1044</v>
      </c>
      <c r="E130" s="1" t="s">
        <v>1045</v>
      </c>
      <c r="F130" s="1" t="s">
        <v>1047</v>
      </c>
      <c r="G130" s="1" t="s">
        <v>31</v>
      </c>
      <c r="H130" s="1" t="s">
        <v>55</v>
      </c>
      <c r="I130" s="1" t="s">
        <v>56</v>
      </c>
      <c r="J130" s="1">
        <v>1041.0</v>
      </c>
      <c r="K130" s="1" t="s">
        <v>31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1">
        <v>1.1000494E7</v>
      </c>
      <c r="B131" s="1" t="s">
        <v>454</v>
      </c>
      <c r="C131" s="1" t="s">
        <v>51</v>
      </c>
      <c r="D131" s="1" t="s">
        <v>1044</v>
      </c>
      <c r="E131" s="1" t="s">
        <v>1058</v>
      </c>
      <c r="F131" s="1" t="s">
        <v>1047</v>
      </c>
      <c r="G131" s="1" t="s">
        <v>31</v>
      </c>
      <c r="H131" s="1" t="s">
        <v>55</v>
      </c>
      <c r="I131" s="1" t="s">
        <v>56</v>
      </c>
      <c r="J131" s="1">
        <v>1041.0</v>
      </c>
      <c r="K131" s="1" t="s">
        <v>31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1">
        <v>1.1000501E7</v>
      </c>
      <c r="B132" s="1" t="s">
        <v>1060</v>
      </c>
      <c r="C132" s="1" t="s">
        <v>51</v>
      </c>
      <c r="D132" s="1" t="s">
        <v>1063</v>
      </c>
      <c r="E132" s="1" t="s">
        <v>1064</v>
      </c>
      <c r="F132" s="1" t="s">
        <v>1065</v>
      </c>
      <c r="G132" s="1" t="s">
        <v>31</v>
      </c>
      <c r="H132" s="1" t="s">
        <v>55</v>
      </c>
      <c r="I132" s="1" t="s">
        <v>56</v>
      </c>
      <c r="J132" s="1">
        <v>1041.0</v>
      </c>
      <c r="K132" s="1" t="s">
        <v>31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1">
        <v>1.1000502E7</v>
      </c>
      <c r="B133" s="1" t="s">
        <v>1073</v>
      </c>
      <c r="C133" s="1" t="s">
        <v>51</v>
      </c>
      <c r="D133" s="1" t="s">
        <v>1063</v>
      </c>
      <c r="E133" s="1" t="s">
        <v>1074</v>
      </c>
      <c r="F133" s="1" t="s">
        <v>1065</v>
      </c>
      <c r="G133" s="1" t="s">
        <v>31</v>
      </c>
      <c r="H133" s="1" t="s">
        <v>55</v>
      </c>
      <c r="I133" s="1" t="s">
        <v>56</v>
      </c>
      <c r="J133" s="1">
        <v>1041.0</v>
      </c>
      <c r="K133" s="1" t="s">
        <v>31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1">
        <v>1.1000503E7</v>
      </c>
      <c r="B134" s="1" t="s">
        <v>1076</v>
      </c>
      <c r="C134" s="1" t="s">
        <v>51</v>
      </c>
      <c r="D134" s="1" t="s">
        <v>1063</v>
      </c>
      <c r="E134" s="1" t="s">
        <v>1077</v>
      </c>
      <c r="F134" s="1" t="s">
        <v>1078</v>
      </c>
      <c r="G134" s="1" t="s">
        <v>31</v>
      </c>
      <c r="H134" s="1" t="s">
        <v>55</v>
      </c>
      <c r="I134" s="1" t="s">
        <v>56</v>
      </c>
      <c r="J134" s="1">
        <v>1041.0</v>
      </c>
      <c r="K134" s="1" t="s">
        <v>31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1">
        <v>1.1000504E7</v>
      </c>
      <c r="B135" s="1" t="s">
        <v>1091</v>
      </c>
      <c r="C135" s="1" t="s">
        <v>51</v>
      </c>
      <c r="D135" s="1" t="s">
        <v>536</v>
      </c>
      <c r="E135" s="1" t="s">
        <v>1092</v>
      </c>
      <c r="F135" s="1" t="s">
        <v>536</v>
      </c>
      <c r="G135" s="1" t="s">
        <v>31</v>
      </c>
      <c r="H135" s="1" t="s">
        <v>55</v>
      </c>
      <c r="I135" s="1" t="s">
        <v>56</v>
      </c>
      <c r="J135" s="1">
        <v>1041.0</v>
      </c>
      <c r="K135" s="1" t="s">
        <v>31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1">
        <v>1.1000511E7</v>
      </c>
      <c r="B136" s="1" t="s">
        <v>1095</v>
      </c>
      <c r="C136" s="1" t="s">
        <v>51</v>
      </c>
      <c r="D136" s="1" t="s">
        <v>664</v>
      </c>
      <c r="E136" s="1" t="s">
        <v>1096</v>
      </c>
      <c r="F136" s="1" t="s">
        <v>1097</v>
      </c>
      <c r="G136" s="1" t="s">
        <v>31</v>
      </c>
      <c r="H136" s="1" t="s">
        <v>55</v>
      </c>
      <c r="I136" s="1" t="s">
        <v>56</v>
      </c>
      <c r="J136" s="1">
        <v>1041.0</v>
      </c>
      <c r="K136" s="1" t="s">
        <v>31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1">
        <v>1.1000514E7</v>
      </c>
      <c r="B137" s="1" t="s">
        <v>1103</v>
      </c>
      <c r="C137" s="1" t="s">
        <v>51</v>
      </c>
      <c r="D137" s="1" t="s">
        <v>1020</v>
      </c>
      <c r="E137" s="1" t="s">
        <v>1105</v>
      </c>
      <c r="F137" s="1" t="s">
        <v>1106</v>
      </c>
      <c r="G137" s="1" t="s">
        <v>31</v>
      </c>
      <c r="H137" s="1" t="s">
        <v>55</v>
      </c>
      <c r="I137" s="1" t="s">
        <v>56</v>
      </c>
      <c r="J137" s="1">
        <v>1041.0</v>
      </c>
      <c r="K137" s="1" t="s">
        <v>31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1">
        <v>1.100052E7</v>
      </c>
      <c r="B138" s="1" t="s">
        <v>1109</v>
      </c>
      <c r="C138" s="1" t="s">
        <v>51</v>
      </c>
      <c r="D138" s="1" t="s">
        <v>76</v>
      </c>
      <c r="E138" s="1" t="s">
        <v>1110</v>
      </c>
      <c r="F138" s="1" t="s">
        <v>1111</v>
      </c>
      <c r="G138" s="1" t="s">
        <v>31</v>
      </c>
      <c r="H138" s="1" t="s">
        <v>55</v>
      </c>
      <c r="I138" s="1" t="s">
        <v>56</v>
      </c>
      <c r="J138" s="1">
        <v>1041.0</v>
      </c>
      <c r="K138" s="1" t="s">
        <v>31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1">
        <v>1.1000521E7</v>
      </c>
      <c r="B139" s="1" t="s">
        <v>1119</v>
      </c>
      <c r="C139" s="1" t="s">
        <v>51</v>
      </c>
      <c r="D139" s="1" t="s">
        <v>76</v>
      </c>
      <c r="E139" s="1" t="s">
        <v>1122</v>
      </c>
      <c r="F139" s="1" t="s">
        <v>1111</v>
      </c>
      <c r="G139" s="1" t="s">
        <v>31</v>
      </c>
      <c r="H139" s="1" t="s">
        <v>55</v>
      </c>
      <c r="I139" s="1" t="s">
        <v>56</v>
      </c>
      <c r="J139" s="1">
        <v>1041.0</v>
      </c>
      <c r="K139" s="1" t="s">
        <v>31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1">
        <v>1.1000528E7</v>
      </c>
      <c r="B140" s="1" t="s">
        <v>1127</v>
      </c>
      <c r="C140" s="1" t="s">
        <v>51</v>
      </c>
      <c r="D140" s="1" t="s">
        <v>1128</v>
      </c>
      <c r="E140" s="1" t="s">
        <v>1129</v>
      </c>
      <c r="F140" s="1" t="s">
        <v>1129</v>
      </c>
      <c r="G140" s="1" t="s">
        <v>31</v>
      </c>
      <c r="H140" s="1" t="s">
        <v>55</v>
      </c>
      <c r="I140" s="1" t="s">
        <v>56</v>
      </c>
      <c r="J140" s="1">
        <v>1041.0</v>
      </c>
      <c r="K140" s="1" t="s">
        <v>31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1">
        <v>1.1000539E7</v>
      </c>
      <c r="B141" s="1" t="s">
        <v>1135</v>
      </c>
      <c r="C141" s="1" t="s">
        <v>51</v>
      </c>
      <c r="D141" s="1" t="s">
        <v>1136</v>
      </c>
      <c r="E141" s="1" t="s">
        <v>1137</v>
      </c>
      <c r="F141" s="1" t="s">
        <v>31</v>
      </c>
      <c r="G141" s="1" t="s">
        <v>31</v>
      </c>
      <c r="H141" s="1" t="s">
        <v>55</v>
      </c>
      <c r="I141" s="1" t="s">
        <v>56</v>
      </c>
      <c r="J141" s="1">
        <v>1031.0</v>
      </c>
      <c r="K141" s="1" t="s">
        <v>31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1">
        <v>1.100054E7</v>
      </c>
      <c r="B142" s="1" t="s">
        <v>1143</v>
      </c>
      <c r="C142" s="1" t="s">
        <v>51</v>
      </c>
      <c r="D142" s="1" t="s">
        <v>1144</v>
      </c>
      <c r="E142" s="1" t="s">
        <v>1145</v>
      </c>
      <c r="F142" s="1" t="s">
        <v>31</v>
      </c>
      <c r="G142" s="1" t="s">
        <v>31</v>
      </c>
      <c r="H142" s="1" t="s">
        <v>55</v>
      </c>
      <c r="I142" s="1" t="s">
        <v>56</v>
      </c>
      <c r="J142" s="1">
        <v>1031.0</v>
      </c>
      <c r="K142" s="1" t="s">
        <v>31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1">
        <v>1.1000543E7</v>
      </c>
      <c r="B143" s="1" t="s">
        <v>1147</v>
      </c>
      <c r="C143" s="1" t="s">
        <v>51</v>
      </c>
      <c r="D143" s="1" t="s">
        <v>1136</v>
      </c>
      <c r="E143" s="1" t="s">
        <v>1148</v>
      </c>
      <c r="F143" s="1" t="s">
        <v>1149</v>
      </c>
      <c r="G143" s="1" t="s">
        <v>31</v>
      </c>
      <c r="H143" s="1" t="s">
        <v>55</v>
      </c>
      <c r="I143" s="1" t="s">
        <v>56</v>
      </c>
      <c r="J143" s="1">
        <v>1031.0</v>
      </c>
      <c r="K143" s="1" t="s">
        <v>31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1">
        <v>1.1000546E7</v>
      </c>
      <c r="B144" s="1" t="s">
        <v>1151</v>
      </c>
      <c r="C144" s="1" t="s">
        <v>51</v>
      </c>
      <c r="D144" s="1" t="s">
        <v>1152</v>
      </c>
      <c r="E144" s="1" t="s">
        <v>31</v>
      </c>
      <c r="F144" s="1" t="s">
        <v>31</v>
      </c>
      <c r="G144" s="1" t="s">
        <v>31</v>
      </c>
      <c r="H144" s="1" t="s">
        <v>55</v>
      </c>
      <c r="I144" s="1" t="s">
        <v>56</v>
      </c>
      <c r="J144" s="1">
        <v>1031.0</v>
      </c>
      <c r="K144" s="1" t="s">
        <v>31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1">
        <v>1.1000547E7</v>
      </c>
      <c r="B145" s="1" t="s">
        <v>1158</v>
      </c>
      <c r="C145" s="1" t="s">
        <v>51</v>
      </c>
      <c r="D145" s="1" t="s">
        <v>1159</v>
      </c>
      <c r="E145" s="1" t="s">
        <v>1160</v>
      </c>
      <c r="F145" s="1" t="s">
        <v>31</v>
      </c>
      <c r="G145" s="1" t="s">
        <v>31</v>
      </c>
      <c r="H145" s="1" t="s">
        <v>55</v>
      </c>
      <c r="I145" s="1" t="s">
        <v>56</v>
      </c>
      <c r="J145" s="1">
        <v>1031.0</v>
      </c>
      <c r="K145" s="1" t="s">
        <v>31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1">
        <v>1.1000548E7</v>
      </c>
      <c r="B146" s="1" t="s">
        <v>979</v>
      </c>
      <c r="C146" s="1" t="s">
        <v>51</v>
      </c>
      <c r="D146" s="1" t="s">
        <v>1164</v>
      </c>
      <c r="E146" s="1" t="s">
        <v>1165</v>
      </c>
      <c r="F146" s="1" t="s">
        <v>1167</v>
      </c>
      <c r="G146" s="1" t="s">
        <v>31</v>
      </c>
      <c r="H146" s="1" t="s">
        <v>55</v>
      </c>
      <c r="I146" s="1" t="s">
        <v>56</v>
      </c>
      <c r="J146" s="1">
        <v>1031.0</v>
      </c>
      <c r="K146" s="1" t="s">
        <v>31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1">
        <v>1.1000549E7</v>
      </c>
      <c r="B147" s="1" t="s">
        <v>1170</v>
      </c>
      <c r="C147" s="1" t="s">
        <v>51</v>
      </c>
      <c r="D147" s="1" t="s">
        <v>374</v>
      </c>
      <c r="E147" s="1" t="s">
        <v>1171</v>
      </c>
      <c r="F147" s="1" t="s">
        <v>1171</v>
      </c>
      <c r="G147" s="1" t="s">
        <v>31</v>
      </c>
      <c r="H147" s="1" t="s">
        <v>55</v>
      </c>
      <c r="I147" s="1" t="s">
        <v>56</v>
      </c>
      <c r="J147" s="1">
        <v>1031.0</v>
      </c>
      <c r="K147" s="1" t="s">
        <v>31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1">
        <v>1.100055E7</v>
      </c>
      <c r="B148" s="1" t="s">
        <v>1177</v>
      </c>
      <c r="C148" s="1" t="s">
        <v>51</v>
      </c>
      <c r="D148" s="1" t="s">
        <v>1178</v>
      </c>
      <c r="E148" s="1" t="s">
        <v>31</v>
      </c>
      <c r="F148" s="1" t="s">
        <v>31</v>
      </c>
      <c r="G148" s="1" t="s">
        <v>31</v>
      </c>
      <c r="H148" s="1" t="s">
        <v>55</v>
      </c>
      <c r="I148" s="1" t="s">
        <v>56</v>
      </c>
      <c r="J148" s="1">
        <v>1031.0</v>
      </c>
      <c r="K148" s="1" t="s">
        <v>31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1">
        <v>1.1000551E7</v>
      </c>
      <c r="B149" s="1" t="s">
        <v>217</v>
      </c>
      <c r="C149" s="1" t="s">
        <v>51</v>
      </c>
      <c r="D149" s="1" t="s">
        <v>1184</v>
      </c>
      <c r="E149" s="1" t="s">
        <v>1185</v>
      </c>
      <c r="F149" s="1" t="s">
        <v>1186</v>
      </c>
      <c r="G149" s="1" t="s">
        <v>31</v>
      </c>
      <c r="H149" s="1" t="s">
        <v>55</v>
      </c>
      <c r="I149" s="1" t="s">
        <v>56</v>
      </c>
      <c r="J149" s="1">
        <v>1031.0</v>
      </c>
      <c r="K149" s="1" t="s">
        <v>31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1">
        <v>1.1000552E7</v>
      </c>
      <c r="B150" s="1" t="s">
        <v>1192</v>
      </c>
      <c r="C150" s="1" t="s">
        <v>51</v>
      </c>
      <c r="D150" s="1" t="s">
        <v>1193</v>
      </c>
      <c r="E150" s="1" t="s">
        <v>1194</v>
      </c>
      <c r="F150" s="1" t="s">
        <v>1195</v>
      </c>
      <c r="G150" s="1" t="s">
        <v>31</v>
      </c>
      <c r="H150" s="1" t="s">
        <v>55</v>
      </c>
      <c r="I150" s="1" t="s">
        <v>56</v>
      </c>
      <c r="J150" s="1">
        <v>1031.0</v>
      </c>
      <c r="K150" s="1" t="s">
        <v>31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1">
        <v>1.1000555E7</v>
      </c>
      <c r="B151" s="1" t="s">
        <v>1205</v>
      </c>
      <c r="C151" s="1" t="s">
        <v>51</v>
      </c>
      <c r="D151" s="1" t="s">
        <v>1208</v>
      </c>
      <c r="E151" s="1" t="s">
        <v>1209</v>
      </c>
      <c r="F151" s="1" t="s">
        <v>31</v>
      </c>
      <c r="G151" s="1" t="s">
        <v>31</v>
      </c>
      <c r="H151" s="1" t="s">
        <v>55</v>
      </c>
      <c r="I151" s="1" t="s">
        <v>56</v>
      </c>
      <c r="J151" s="1">
        <v>1031.0</v>
      </c>
      <c r="K151" s="1" t="s">
        <v>31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1">
        <v>1.1000557E7</v>
      </c>
      <c r="B152" s="1" t="s">
        <v>1214</v>
      </c>
      <c r="C152" s="1" t="s">
        <v>51</v>
      </c>
      <c r="D152" s="1" t="s">
        <v>1136</v>
      </c>
      <c r="E152" s="1" t="s">
        <v>1217</v>
      </c>
      <c r="F152" s="1" t="s">
        <v>31</v>
      </c>
      <c r="G152" s="1" t="s">
        <v>31</v>
      </c>
      <c r="H152" s="1" t="s">
        <v>55</v>
      </c>
      <c r="I152" s="1" t="s">
        <v>56</v>
      </c>
      <c r="J152" s="1">
        <v>1031.0</v>
      </c>
      <c r="K152" s="1" t="s">
        <v>31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1">
        <v>1.1000562E7</v>
      </c>
      <c r="B153" s="1" t="s">
        <v>1227</v>
      </c>
      <c r="C153" s="1" t="s">
        <v>51</v>
      </c>
      <c r="D153" s="1" t="s">
        <v>366</v>
      </c>
      <c r="E153" s="1" t="s">
        <v>1228</v>
      </c>
      <c r="F153" s="1" t="s">
        <v>1229</v>
      </c>
      <c r="G153" s="1" t="s">
        <v>31</v>
      </c>
      <c r="H153" s="1" t="s">
        <v>55</v>
      </c>
      <c r="I153" s="1" t="s">
        <v>56</v>
      </c>
      <c r="J153" s="1">
        <v>1031.0</v>
      </c>
      <c r="K153" s="1" t="s">
        <v>31</v>
      </c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1">
        <v>1.1000563E7</v>
      </c>
      <c r="B154" s="1" t="s">
        <v>1236</v>
      </c>
      <c r="C154" s="1" t="s">
        <v>51</v>
      </c>
      <c r="D154" s="1" t="s">
        <v>1239</v>
      </c>
      <c r="E154" s="1" t="s">
        <v>1240</v>
      </c>
      <c r="F154" s="1" t="s">
        <v>31</v>
      </c>
      <c r="G154" s="1" t="s">
        <v>31</v>
      </c>
      <c r="H154" s="1" t="s">
        <v>55</v>
      </c>
      <c r="I154" s="1" t="s">
        <v>56</v>
      </c>
      <c r="J154" s="1">
        <v>1031.0</v>
      </c>
      <c r="K154" s="1" t="s">
        <v>31</v>
      </c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1">
        <v>1.1000564E7</v>
      </c>
      <c r="B155" s="1" t="s">
        <v>1243</v>
      </c>
      <c r="C155" s="1" t="s">
        <v>51</v>
      </c>
      <c r="D155" s="1" t="s">
        <v>374</v>
      </c>
      <c r="E155" s="1" t="s">
        <v>1247</v>
      </c>
      <c r="F155" s="1" t="s">
        <v>1248</v>
      </c>
      <c r="G155" s="1" t="s">
        <v>31</v>
      </c>
      <c r="H155" s="1" t="s">
        <v>55</v>
      </c>
      <c r="I155" s="1" t="s">
        <v>56</v>
      </c>
      <c r="J155" s="1">
        <v>1031.0</v>
      </c>
      <c r="K155" s="1" t="s">
        <v>31</v>
      </c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1">
        <v>1.1000565E7</v>
      </c>
      <c r="B156" s="1" t="s">
        <v>1252</v>
      </c>
      <c r="C156" s="1" t="s">
        <v>51</v>
      </c>
      <c r="D156" s="1" t="s">
        <v>1254</v>
      </c>
      <c r="E156" s="1" t="s">
        <v>1255</v>
      </c>
      <c r="F156" s="1" t="s">
        <v>31</v>
      </c>
      <c r="G156" s="1" t="s">
        <v>31</v>
      </c>
      <c r="H156" s="1" t="s">
        <v>55</v>
      </c>
      <c r="I156" s="1" t="s">
        <v>56</v>
      </c>
      <c r="J156" s="1">
        <v>1031.0</v>
      </c>
      <c r="K156" s="1" t="s">
        <v>31</v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1">
        <v>1.1000566E7</v>
      </c>
      <c r="B157" s="1" t="s">
        <v>1265</v>
      </c>
      <c r="C157" s="1" t="s">
        <v>51</v>
      </c>
      <c r="D157" s="1" t="s">
        <v>1266</v>
      </c>
      <c r="E157" s="1" t="s">
        <v>31</v>
      </c>
      <c r="F157" s="1" t="s">
        <v>31</v>
      </c>
      <c r="G157" s="1" t="s">
        <v>31</v>
      </c>
      <c r="H157" s="1" t="s">
        <v>55</v>
      </c>
      <c r="I157" s="1" t="s">
        <v>56</v>
      </c>
      <c r="J157" s="1">
        <v>1031.0</v>
      </c>
      <c r="K157" s="1" t="s">
        <v>31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1">
        <v>1.1000567E7</v>
      </c>
      <c r="B158" s="1" t="s">
        <v>1272</v>
      </c>
      <c r="C158" s="1" t="s">
        <v>51</v>
      </c>
      <c r="D158" s="1" t="s">
        <v>1239</v>
      </c>
      <c r="E158" s="1" t="s">
        <v>1274</v>
      </c>
      <c r="F158" s="1" t="s">
        <v>31</v>
      </c>
      <c r="G158" s="1" t="s">
        <v>31</v>
      </c>
      <c r="H158" s="1" t="s">
        <v>55</v>
      </c>
      <c r="I158" s="1" t="s">
        <v>56</v>
      </c>
      <c r="J158" s="1">
        <v>1031.0</v>
      </c>
      <c r="K158" s="1" t="s">
        <v>31</v>
      </c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1">
        <v>1.1000568E7</v>
      </c>
      <c r="B159" s="1" t="s">
        <v>1287</v>
      </c>
      <c r="C159" s="1" t="s">
        <v>51</v>
      </c>
      <c r="D159" s="1" t="s">
        <v>1289</v>
      </c>
      <c r="E159" s="1" t="s">
        <v>1290</v>
      </c>
      <c r="F159" s="1" t="s">
        <v>1292</v>
      </c>
      <c r="G159" s="1" t="s">
        <v>31</v>
      </c>
      <c r="H159" s="1" t="s">
        <v>55</v>
      </c>
      <c r="I159" s="1" t="s">
        <v>56</v>
      </c>
      <c r="J159" s="1">
        <v>1031.0</v>
      </c>
      <c r="K159" s="1" t="s">
        <v>31</v>
      </c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1">
        <v>1.100057E7</v>
      </c>
      <c r="B160" s="1" t="s">
        <v>1294</v>
      </c>
      <c r="C160" s="1" t="s">
        <v>51</v>
      </c>
      <c r="D160" s="1" t="s">
        <v>1295</v>
      </c>
      <c r="E160" s="1" t="s">
        <v>740</v>
      </c>
      <c r="F160" s="1" t="s">
        <v>31</v>
      </c>
      <c r="G160" s="1" t="s">
        <v>31</v>
      </c>
      <c r="H160" s="1" t="s">
        <v>55</v>
      </c>
      <c r="I160" s="1" t="s">
        <v>56</v>
      </c>
      <c r="J160" s="1">
        <v>1031.0</v>
      </c>
      <c r="K160" s="1" t="s">
        <v>31</v>
      </c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1">
        <v>1.1000571E7</v>
      </c>
      <c r="B161" s="1" t="s">
        <v>1304</v>
      </c>
      <c r="C161" s="1" t="s">
        <v>51</v>
      </c>
      <c r="D161" s="1" t="s">
        <v>1305</v>
      </c>
      <c r="E161" s="1" t="s">
        <v>1306</v>
      </c>
      <c r="F161" s="1" t="s">
        <v>31</v>
      </c>
      <c r="G161" s="1" t="s">
        <v>31</v>
      </c>
      <c r="H161" s="1" t="s">
        <v>55</v>
      </c>
      <c r="I161" s="1" t="s">
        <v>56</v>
      </c>
      <c r="J161" s="1">
        <v>1031.0</v>
      </c>
      <c r="K161" s="1" t="s">
        <v>31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1">
        <v>1.1000573E7</v>
      </c>
      <c r="B162" s="1" t="s">
        <v>1309</v>
      </c>
      <c r="C162" s="1" t="s">
        <v>51</v>
      </c>
      <c r="D162" s="1" t="s">
        <v>1311</v>
      </c>
      <c r="E162" s="1" t="s">
        <v>1315</v>
      </c>
      <c r="F162" s="1" t="s">
        <v>31</v>
      </c>
      <c r="G162" s="1" t="s">
        <v>31</v>
      </c>
      <c r="H162" s="1" t="s">
        <v>55</v>
      </c>
      <c r="I162" s="1" t="s">
        <v>56</v>
      </c>
      <c r="J162" s="1">
        <v>1031.0</v>
      </c>
      <c r="K162" s="1" t="s">
        <v>31</v>
      </c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1">
        <v>1.1000574E7</v>
      </c>
      <c r="B163" s="1" t="s">
        <v>1322</v>
      </c>
      <c r="C163" s="1" t="s">
        <v>51</v>
      </c>
      <c r="D163" s="1" t="s">
        <v>1323</v>
      </c>
      <c r="E163" s="1" t="s">
        <v>1324</v>
      </c>
      <c r="F163" s="1" t="s">
        <v>31</v>
      </c>
      <c r="G163" s="1" t="s">
        <v>31</v>
      </c>
      <c r="H163" s="1" t="s">
        <v>55</v>
      </c>
      <c r="I163" s="1" t="s">
        <v>56</v>
      </c>
      <c r="J163" s="1">
        <v>1031.0</v>
      </c>
      <c r="K163" s="1" t="s">
        <v>31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1">
        <v>1.1000575E7</v>
      </c>
      <c r="B164" s="1" t="s">
        <v>1335</v>
      </c>
      <c r="C164" s="1" t="s">
        <v>51</v>
      </c>
      <c r="D164" s="1" t="s">
        <v>1338</v>
      </c>
      <c r="E164" s="1" t="s">
        <v>1339</v>
      </c>
      <c r="F164" s="1" t="s">
        <v>1340</v>
      </c>
      <c r="G164" s="1" t="s">
        <v>31</v>
      </c>
      <c r="H164" s="1" t="s">
        <v>55</v>
      </c>
      <c r="I164" s="1" t="s">
        <v>56</v>
      </c>
      <c r="J164" s="1">
        <v>1031.0</v>
      </c>
      <c r="K164" s="1" t="s">
        <v>31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1">
        <v>1.1000576E7</v>
      </c>
      <c r="B165" s="1" t="s">
        <v>355</v>
      </c>
      <c r="C165" s="1" t="s">
        <v>51</v>
      </c>
      <c r="D165" s="1" t="s">
        <v>1342</v>
      </c>
      <c r="E165" s="1" t="s">
        <v>1343</v>
      </c>
      <c r="F165" s="1" t="s">
        <v>1344</v>
      </c>
      <c r="G165" s="1" t="s">
        <v>31</v>
      </c>
      <c r="H165" s="1" t="s">
        <v>55</v>
      </c>
      <c r="I165" s="1" t="s">
        <v>56</v>
      </c>
      <c r="J165" s="1">
        <v>1031.0</v>
      </c>
      <c r="K165" s="1" t="s">
        <v>31</v>
      </c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1">
        <v>1.1000577E7</v>
      </c>
      <c r="B166" s="1" t="s">
        <v>1349</v>
      </c>
      <c r="C166" s="1" t="s">
        <v>51</v>
      </c>
      <c r="D166" s="1" t="s">
        <v>1351</v>
      </c>
      <c r="E166" s="1" t="s">
        <v>1353</v>
      </c>
      <c r="F166" s="1" t="s">
        <v>31</v>
      </c>
      <c r="G166" s="1" t="s">
        <v>31</v>
      </c>
      <c r="H166" s="1" t="s">
        <v>55</v>
      </c>
      <c r="I166" s="1" t="s">
        <v>56</v>
      </c>
      <c r="J166" s="1">
        <v>1031.0</v>
      </c>
      <c r="K166" s="1" t="s">
        <v>31</v>
      </c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1">
        <v>1.1000578E7</v>
      </c>
      <c r="B167" s="1" t="s">
        <v>237</v>
      </c>
      <c r="C167" s="1" t="s">
        <v>51</v>
      </c>
      <c r="D167" s="1" t="s">
        <v>904</v>
      </c>
      <c r="E167" s="1" t="s">
        <v>1358</v>
      </c>
      <c r="F167" s="1" t="s">
        <v>1360</v>
      </c>
      <c r="G167" s="1" t="s">
        <v>31</v>
      </c>
      <c r="H167" s="1" t="s">
        <v>55</v>
      </c>
      <c r="I167" s="1" t="s">
        <v>56</v>
      </c>
      <c r="J167" s="1">
        <v>1031.0</v>
      </c>
      <c r="K167" s="1" t="s">
        <v>31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1">
        <v>1.1000579E7</v>
      </c>
      <c r="B168" s="1" t="s">
        <v>1363</v>
      </c>
      <c r="C168" s="1" t="s">
        <v>51</v>
      </c>
      <c r="D168" s="1" t="s">
        <v>1136</v>
      </c>
      <c r="E168" s="1" t="s">
        <v>1364</v>
      </c>
      <c r="F168" s="1" t="s">
        <v>31</v>
      </c>
      <c r="G168" s="1" t="s">
        <v>31</v>
      </c>
      <c r="H168" s="1" t="s">
        <v>55</v>
      </c>
      <c r="I168" s="1" t="s">
        <v>56</v>
      </c>
      <c r="J168" s="1">
        <v>1031.0</v>
      </c>
      <c r="K168" s="1" t="s">
        <v>31</v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1">
        <v>1.100058E7</v>
      </c>
      <c r="B169" s="1" t="s">
        <v>1370</v>
      </c>
      <c r="C169" s="1" t="s">
        <v>51</v>
      </c>
      <c r="D169" s="1" t="s">
        <v>1373</v>
      </c>
      <c r="E169" s="1" t="s">
        <v>1375</v>
      </c>
      <c r="F169" s="1" t="s">
        <v>1376</v>
      </c>
      <c r="G169" s="1" t="s">
        <v>31</v>
      </c>
      <c r="H169" s="1" t="s">
        <v>55</v>
      </c>
      <c r="I169" s="1" t="s">
        <v>56</v>
      </c>
      <c r="J169" s="1">
        <v>1031.0</v>
      </c>
      <c r="K169" s="1" t="s">
        <v>31</v>
      </c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1">
        <v>1.1000581E7</v>
      </c>
      <c r="B170" s="1" t="s">
        <v>1381</v>
      </c>
      <c r="C170" s="1" t="s">
        <v>51</v>
      </c>
      <c r="D170" s="1" t="s">
        <v>664</v>
      </c>
      <c r="E170" s="1" t="s">
        <v>1382</v>
      </c>
      <c r="F170" s="1" t="s">
        <v>1383</v>
      </c>
      <c r="G170" s="1" t="s">
        <v>31</v>
      </c>
      <c r="H170" s="1" t="s">
        <v>55</v>
      </c>
      <c r="I170" s="1" t="s">
        <v>56</v>
      </c>
      <c r="J170" s="1">
        <v>1031.0</v>
      </c>
      <c r="K170" s="1" t="s">
        <v>31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1">
        <v>1.1000582E7</v>
      </c>
      <c r="B171" s="1" t="s">
        <v>1385</v>
      </c>
      <c r="C171" s="1" t="s">
        <v>51</v>
      </c>
      <c r="D171" s="1" t="s">
        <v>1387</v>
      </c>
      <c r="E171" s="1" t="s">
        <v>1390</v>
      </c>
      <c r="F171" s="1" t="s">
        <v>1391</v>
      </c>
      <c r="G171" s="1" t="s">
        <v>31</v>
      </c>
      <c r="H171" s="1" t="s">
        <v>55</v>
      </c>
      <c r="I171" s="1" t="s">
        <v>56</v>
      </c>
      <c r="J171" s="1">
        <v>1031.0</v>
      </c>
      <c r="K171" s="1" t="s">
        <v>31</v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1">
        <v>1.1000583E7</v>
      </c>
      <c r="B172" s="1" t="s">
        <v>1397</v>
      </c>
      <c r="C172" s="1" t="s">
        <v>51</v>
      </c>
      <c r="D172" s="1" t="s">
        <v>1164</v>
      </c>
      <c r="E172" s="1" t="s">
        <v>1399</v>
      </c>
      <c r="F172" s="1" t="s">
        <v>1400</v>
      </c>
      <c r="G172" s="1" t="s">
        <v>31</v>
      </c>
      <c r="H172" s="1" t="s">
        <v>55</v>
      </c>
      <c r="I172" s="1" t="s">
        <v>56</v>
      </c>
      <c r="J172" s="1">
        <v>1031.0</v>
      </c>
      <c r="K172" s="1" t="s">
        <v>31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1">
        <v>1.100059E7</v>
      </c>
      <c r="B173" s="1" t="s">
        <v>1405</v>
      </c>
      <c r="C173" s="1" t="s">
        <v>51</v>
      </c>
      <c r="D173" s="1" t="s">
        <v>1136</v>
      </c>
      <c r="E173" s="1" t="s">
        <v>1407</v>
      </c>
      <c r="F173" s="1" t="s">
        <v>31</v>
      </c>
      <c r="G173" s="1" t="s">
        <v>31</v>
      </c>
      <c r="H173" s="1" t="s">
        <v>55</v>
      </c>
      <c r="I173" s="1" t="s">
        <v>56</v>
      </c>
      <c r="J173" s="1">
        <v>1031.0</v>
      </c>
      <c r="K173" s="1" t="s">
        <v>31</v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1">
        <v>1.1000591E7</v>
      </c>
      <c r="B174" s="1" t="s">
        <v>1416</v>
      </c>
      <c r="C174" s="1" t="s">
        <v>51</v>
      </c>
      <c r="D174" s="1" t="s">
        <v>1417</v>
      </c>
      <c r="E174" s="1" t="s">
        <v>1419</v>
      </c>
      <c r="F174" s="1" t="s">
        <v>1419</v>
      </c>
      <c r="G174" s="1" t="s">
        <v>31</v>
      </c>
      <c r="H174" s="1" t="s">
        <v>55</v>
      </c>
      <c r="I174" s="1" t="s">
        <v>56</v>
      </c>
      <c r="J174" s="1">
        <v>1031.0</v>
      </c>
      <c r="K174" s="1" t="s">
        <v>31</v>
      </c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1">
        <v>1.1000592E7</v>
      </c>
      <c r="B175" s="1" t="s">
        <v>1427</v>
      </c>
      <c r="C175" s="1" t="s">
        <v>51</v>
      </c>
      <c r="D175" s="1" t="s">
        <v>1266</v>
      </c>
      <c r="E175" s="1" t="s">
        <v>1428</v>
      </c>
      <c r="F175" s="1" t="s">
        <v>31</v>
      </c>
      <c r="G175" s="1" t="s">
        <v>31</v>
      </c>
      <c r="H175" s="1" t="s">
        <v>55</v>
      </c>
      <c r="I175" s="1" t="s">
        <v>56</v>
      </c>
      <c r="J175" s="1">
        <v>1031.0</v>
      </c>
      <c r="K175" s="1" t="s">
        <v>31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1">
        <v>1.1000593E7</v>
      </c>
      <c r="B176" s="1" t="s">
        <v>1437</v>
      </c>
      <c r="C176" s="1" t="s">
        <v>51</v>
      </c>
      <c r="D176" s="1" t="s">
        <v>1266</v>
      </c>
      <c r="E176" s="1" t="s">
        <v>1438</v>
      </c>
      <c r="F176" s="1" t="s">
        <v>31</v>
      </c>
      <c r="G176" s="1" t="s">
        <v>31</v>
      </c>
      <c r="H176" s="1" t="s">
        <v>55</v>
      </c>
      <c r="I176" s="1" t="s">
        <v>56</v>
      </c>
      <c r="J176" s="1">
        <v>1031.0</v>
      </c>
      <c r="K176" s="1" t="s">
        <v>31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1">
        <v>1.1000594E7</v>
      </c>
      <c r="B177" s="1" t="s">
        <v>1442</v>
      </c>
      <c r="C177" s="1" t="s">
        <v>51</v>
      </c>
      <c r="D177" s="1" t="s">
        <v>1443</v>
      </c>
      <c r="E177" s="1" t="s">
        <v>31</v>
      </c>
      <c r="F177" s="1" t="s">
        <v>31</v>
      </c>
      <c r="G177" s="1" t="s">
        <v>31</v>
      </c>
      <c r="H177" s="1" t="s">
        <v>55</v>
      </c>
      <c r="I177" s="1" t="s">
        <v>56</v>
      </c>
      <c r="J177" s="1">
        <v>1031.0</v>
      </c>
      <c r="K177" s="1" t="s">
        <v>31</v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1">
        <v>1.1000628E7</v>
      </c>
      <c r="B178" s="1" t="s">
        <v>1448</v>
      </c>
      <c r="C178" s="1" t="s">
        <v>51</v>
      </c>
      <c r="D178" s="1" t="s">
        <v>1450</v>
      </c>
      <c r="E178" s="1" t="s">
        <v>31</v>
      </c>
      <c r="F178" s="1" t="s">
        <v>31</v>
      </c>
      <c r="G178" s="1" t="s">
        <v>31</v>
      </c>
      <c r="H178" s="1" t="s">
        <v>55</v>
      </c>
      <c r="I178" s="1" t="s">
        <v>56</v>
      </c>
      <c r="J178" s="1">
        <v>1031.0</v>
      </c>
      <c r="K178" s="1" t="s">
        <v>31</v>
      </c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1">
        <v>1.1000683E7</v>
      </c>
      <c r="B179" s="1" t="s">
        <v>1454</v>
      </c>
      <c r="C179" s="1" t="s">
        <v>51</v>
      </c>
      <c r="D179" s="1" t="s">
        <v>1455</v>
      </c>
      <c r="E179" s="1" t="s">
        <v>1457</v>
      </c>
      <c r="F179" s="1" t="s">
        <v>1458</v>
      </c>
      <c r="G179" s="1" t="s">
        <v>31</v>
      </c>
      <c r="H179" s="1" t="s">
        <v>55</v>
      </c>
      <c r="I179" s="1" t="s">
        <v>56</v>
      </c>
      <c r="J179" s="1">
        <v>1002.0</v>
      </c>
      <c r="K179" s="1" t="s">
        <v>31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1">
        <v>1.1000684E7</v>
      </c>
      <c r="B180" s="1" t="s">
        <v>1463</v>
      </c>
      <c r="C180" s="1" t="s">
        <v>51</v>
      </c>
      <c r="D180" s="1" t="s">
        <v>1464</v>
      </c>
      <c r="E180" s="1" t="s">
        <v>1465</v>
      </c>
      <c r="F180" s="1" t="s">
        <v>1467</v>
      </c>
      <c r="G180" s="1" t="s">
        <v>31</v>
      </c>
      <c r="H180" s="1" t="s">
        <v>55</v>
      </c>
      <c r="I180" s="1" t="s">
        <v>56</v>
      </c>
      <c r="J180" s="1">
        <v>1002.0</v>
      </c>
      <c r="K180" s="1" t="s">
        <v>31</v>
      </c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1">
        <v>1.1000689E7</v>
      </c>
      <c r="B181" s="1" t="s">
        <v>1473</v>
      </c>
      <c r="C181" s="1" t="s">
        <v>51</v>
      </c>
      <c r="D181" s="1" t="s">
        <v>1475</v>
      </c>
      <c r="E181" s="1" t="s">
        <v>1477</v>
      </c>
      <c r="F181" s="1" t="s">
        <v>1478</v>
      </c>
      <c r="G181" s="1" t="s">
        <v>31</v>
      </c>
      <c r="H181" s="1" t="s">
        <v>55</v>
      </c>
      <c r="I181" s="1" t="s">
        <v>56</v>
      </c>
      <c r="J181" s="1">
        <v>1002.0</v>
      </c>
      <c r="K181" s="1" t="s">
        <v>31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1">
        <v>1.1000691E7</v>
      </c>
      <c r="B182" s="1" t="s">
        <v>1480</v>
      </c>
      <c r="C182" s="1" t="s">
        <v>51</v>
      </c>
      <c r="D182" s="1" t="s">
        <v>1475</v>
      </c>
      <c r="E182" s="1" t="s">
        <v>1481</v>
      </c>
      <c r="F182" s="1" t="s">
        <v>1482</v>
      </c>
      <c r="G182" s="1" t="s">
        <v>31</v>
      </c>
      <c r="H182" s="1" t="s">
        <v>55</v>
      </c>
      <c r="I182" s="1" t="s">
        <v>56</v>
      </c>
      <c r="J182" s="1">
        <v>1002.0</v>
      </c>
      <c r="K182" s="1" t="s">
        <v>31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1">
        <v>1.1000697E7</v>
      </c>
      <c r="B183" s="1" t="s">
        <v>1486</v>
      </c>
      <c r="C183" s="1" t="s">
        <v>51</v>
      </c>
      <c r="D183" s="1" t="s">
        <v>1475</v>
      </c>
      <c r="E183" s="1" t="s">
        <v>1492</v>
      </c>
      <c r="F183" s="1" t="s">
        <v>1482</v>
      </c>
      <c r="G183" s="1" t="s">
        <v>31</v>
      </c>
      <c r="H183" s="1" t="s">
        <v>55</v>
      </c>
      <c r="I183" s="1" t="s">
        <v>56</v>
      </c>
      <c r="J183" s="1">
        <v>1002.0</v>
      </c>
      <c r="K183" s="1" t="s">
        <v>31</v>
      </c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1">
        <v>1.1000698E7</v>
      </c>
      <c r="B184" s="1" t="s">
        <v>1497</v>
      </c>
      <c r="C184" s="1" t="s">
        <v>51</v>
      </c>
      <c r="D184" s="1" t="s">
        <v>1475</v>
      </c>
      <c r="E184" s="1" t="s">
        <v>1498</v>
      </c>
      <c r="F184" s="1" t="s">
        <v>1482</v>
      </c>
      <c r="G184" s="1" t="s">
        <v>31</v>
      </c>
      <c r="H184" s="1" t="s">
        <v>55</v>
      </c>
      <c r="I184" s="1" t="s">
        <v>56</v>
      </c>
      <c r="J184" s="1">
        <v>1002.0</v>
      </c>
      <c r="K184" s="1" t="s">
        <v>31</v>
      </c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1">
        <v>1.1000699E7</v>
      </c>
      <c r="B185" s="1" t="s">
        <v>1503</v>
      </c>
      <c r="C185" s="1" t="s">
        <v>51</v>
      </c>
      <c r="D185" s="1" t="s">
        <v>1475</v>
      </c>
      <c r="E185" s="1" t="s">
        <v>1506</v>
      </c>
      <c r="F185" s="1" t="s">
        <v>1482</v>
      </c>
      <c r="G185" s="1" t="s">
        <v>31</v>
      </c>
      <c r="H185" s="1" t="s">
        <v>55</v>
      </c>
      <c r="I185" s="1" t="s">
        <v>56</v>
      </c>
      <c r="J185" s="1">
        <v>1002.0</v>
      </c>
      <c r="K185" s="1" t="s">
        <v>31</v>
      </c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1">
        <v>1.10007E7</v>
      </c>
      <c r="B186" s="1" t="s">
        <v>1510</v>
      </c>
      <c r="C186" s="1" t="s">
        <v>51</v>
      </c>
      <c r="D186" s="1" t="s">
        <v>536</v>
      </c>
      <c r="E186" s="1" t="s">
        <v>1511</v>
      </c>
      <c r="F186" s="1" t="s">
        <v>1512</v>
      </c>
      <c r="G186" s="1" t="s">
        <v>31</v>
      </c>
      <c r="H186" s="1" t="s">
        <v>55</v>
      </c>
      <c r="I186" s="1" t="s">
        <v>56</v>
      </c>
      <c r="J186" s="1">
        <v>1002.0</v>
      </c>
      <c r="K186" s="1" t="s">
        <v>31</v>
      </c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1">
        <v>1.1000701E7</v>
      </c>
      <c r="B187" s="1" t="s">
        <v>1518</v>
      </c>
      <c r="C187" s="1" t="s">
        <v>51</v>
      </c>
      <c r="D187" s="1" t="s">
        <v>1521</v>
      </c>
      <c r="E187" s="1" t="s">
        <v>1522</v>
      </c>
      <c r="F187" s="1" t="s">
        <v>1523</v>
      </c>
      <c r="G187" s="1" t="s">
        <v>31</v>
      </c>
      <c r="H187" s="1" t="s">
        <v>55</v>
      </c>
      <c r="I187" s="1" t="s">
        <v>56</v>
      </c>
      <c r="J187" s="1">
        <v>1002.0</v>
      </c>
      <c r="K187" s="1" t="s">
        <v>31</v>
      </c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1">
        <v>1.1000702E7</v>
      </c>
      <c r="B188" s="1" t="s">
        <v>1525</v>
      </c>
      <c r="C188" s="1" t="s">
        <v>51</v>
      </c>
      <c r="D188" s="1" t="s">
        <v>536</v>
      </c>
      <c r="E188" s="1" t="s">
        <v>1526</v>
      </c>
      <c r="F188" s="1" t="s">
        <v>1512</v>
      </c>
      <c r="G188" s="1" t="s">
        <v>31</v>
      </c>
      <c r="H188" s="1" t="s">
        <v>55</v>
      </c>
      <c r="I188" s="1" t="s">
        <v>56</v>
      </c>
      <c r="J188" s="1">
        <v>1002.0</v>
      </c>
      <c r="K188" s="1" t="s">
        <v>31</v>
      </c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1">
        <v>1.1000703E7</v>
      </c>
      <c r="B189" s="1" t="s">
        <v>1534</v>
      </c>
      <c r="C189" s="1" t="s">
        <v>51</v>
      </c>
      <c r="D189" s="1" t="s">
        <v>536</v>
      </c>
      <c r="E189" s="1" t="s">
        <v>1535</v>
      </c>
      <c r="F189" s="1" t="s">
        <v>1512</v>
      </c>
      <c r="G189" s="1" t="s">
        <v>31</v>
      </c>
      <c r="H189" s="1" t="s">
        <v>55</v>
      </c>
      <c r="I189" s="1" t="s">
        <v>56</v>
      </c>
      <c r="J189" s="1">
        <v>1002.0</v>
      </c>
      <c r="K189" s="1" t="s">
        <v>31</v>
      </c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1">
        <v>1.1000704E7</v>
      </c>
      <c r="B190" s="1" t="s">
        <v>1538</v>
      </c>
      <c r="C190" s="1" t="s">
        <v>51</v>
      </c>
      <c r="D190" s="1" t="s">
        <v>613</v>
      </c>
      <c r="E190" s="1" t="s">
        <v>1543</v>
      </c>
      <c r="F190" s="1" t="s">
        <v>1545</v>
      </c>
      <c r="G190" s="1" t="s">
        <v>31</v>
      </c>
      <c r="H190" s="1" t="s">
        <v>55</v>
      </c>
      <c r="I190" s="1" t="s">
        <v>56</v>
      </c>
      <c r="J190" s="1">
        <v>1002.0</v>
      </c>
      <c r="K190" s="1" t="s">
        <v>31</v>
      </c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1">
        <v>1.1000705E7</v>
      </c>
      <c r="B191" s="1" t="s">
        <v>1551</v>
      </c>
      <c r="C191" s="1" t="s">
        <v>51</v>
      </c>
      <c r="D191" s="1" t="s">
        <v>613</v>
      </c>
      <c r="E191" s="1" t="s">
        <v>1553</v>
      </c>
      <c r="F191" s="1" t="s">
        <v>1551</v>
      </c>
      <c r="G191" s="1" t="s">
        <v>31</v>
      </c>
      <c r="H191" s="1" t="s">
        <v>55</v>
      </c>
      <c r="I191" s="1" t="s">
        <v>56</v>
      </c>
      <c r="J191" s="1">
        <v>1002.0</v>
      </c>
      <c r="K191" s="1" t="s">
        <v>31</v>
      </c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1">
        <v>1.1000706E7</v>
      </c>
      <c r="B192" s="1" t="s">
        <v>1554</v>
      </c>
      <c r="C192" s="1" t="s">
        <v>51</v>
      </c>
      <c r="D192" s="1" t="s">
        <v>1555</v>
      </c>
      <c r="E192" s="1" t="s">
        <v>1556</v>
      </c>
      <c r="F192" s="1" t="s">
        <v>1557</v>
      </c>
      <c r="G192" s="1" t="s">
        <v>31</v>
      </c>
      <c r="H192" s="1" t="s">
        <v>55</v>
      </c>
      <c r="I192" s="1" t="s">
        <v>56</v>
      </c>
      <c r="J192" s="1">
        <v>1002.0</v>
      </c>
      <c r="K192" s="1" t="s">
        <v>31</v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1">
        <v>1.1000707E7</v>
      </c>
      <c r="B193" s="1" t="s">
        <v>1560</v>
      </c>
      <c r="C193" s="1" t="s">
        <v>51</v>
      </c>
      <c r="D193" s="1" t="s">
        <v>1475</v>
      </c>
      <c r="E193" s="1" t="s">
        <v>1562</v>
      </c>
      <c r="F193" s="1" t="s">
        <v>1482</v>
      </c>
      <c r="G193" s="1" t="s">
        <v>1565</v>
      </c>
      <c r="H193" s="1" t="s">
        <v>55</v>
      </c>
      <c r="I193" s="1" t="s">
        <v>56</v>
      </c>
      <c r="J193" s="1">
        <v>1002.0</v>
      </c>
      <c r="K193" s="1" t="s">
        <v>31</v>
      </c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1">
        <v>1.1000708E7</v>
      </c>
      <c r="B194" s="1" t="s">
        <v>1566</v>
      </c>
      <c r="C194" s="1" t="s">
        <v>51</v>
      </c>
      <c r="D194" s="1" t="s">
        <v>1475</v>
      </c>
      <c r="E194" s="1" t="s">
        <v>1567</v>
      </c>
      <c r="F194" s="1" t="s">
        <v>1568</v>
      </c>
      <c r="G194" s="1" t="s">
        <v>31</v>
      </c>
      <c r="H194" s="1" t="s">
        <v>55</v>
      </c>
      <c r="I194" s="1" t="s">
        <v>56</v>
      </c>
      <c r="J194" s="1">
        <v>1002.0</v>
      </c>
      <c r="K194" s="1" t="s">
        <v>31</v>
      </c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1">
        <v>1.1000709E7</v>
      </c>
      <c r="B195" s="1" t="s">
        <v>1575</v>
      </c>
      <c r="C195" s="1" t="s">
        <v>51</v>
      </c>
      <c r="D195" s="1" t="s">
        <v>1576</v>
      </c>
      <c r="E195" s="1" t="s">
        <v>1577</v>
      </c>
      <c r="F195" s="1" t="s">
        <v>1578</v>
      </c>
      <c r="G195" s="1" t="s">
        <v>31</v>
      </c>
      <c r="H195" s="1" t="s">
        <v>55</v>
      </c>
      <c r="I195" s="1" t="s">
        <v>56</v>
      </c>
      <c r="J195" s="1">
        <v>1002.0</v>
      </c>
      <c r="K195" s="1" t="s">
        <v>31</v>
      </c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1">
        <v>1.100071E7</v>
      </c>
      <c r="B196" s="1" t="s">
        <v>1580</v>
      </c>
      <c r="C196" s="1" t="s">
        <v>51</v>
      </c>
      <c r="D196" s="1" t="s">
        <v>1576</v>
      </c>
      <c r="E196" s="1" t="s">
        <v>1581</v>
      </c>
      <c r="F196" s="1" t="s">
        <v>1580</v>
      </c>
      <c r="G196" s="1" t="s">
        <v>31</v>
      </c>
      <c r="H196" s="1" t="s">
        <v>55</v>
      </c>
      <c r="I196" s="1" t="s">
        <v>56</v>
      </c>
      <c r="J196" s="1">
        <v>1002.0</v>
      </c>
      <c r="K196" s="1" t="s">
        <v>31</v>
      </c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1">
        <v>1.1000715E7</v>
      </c>
      <c r="B197" s="1" t="s">
        <v>988</v>
      </c>
      <c r="C197" s="1" t="s">
        <v>51</v>
      </c>
      <c r="D197" s="1" t="s">
        <v>807</v>
      </c>
      <c r="E197" s="1" t="s">
        <v>1583</v>
      </c>
      <c r="F197" s="1" t="s">
        <v>1584</v>
      </c>
      <c r="G197" s="1" t="s">
        <v>31</v>
      </c>
      <c r="H197" s="1" t="s">
        <v>55</v>
      </c>
      <c r="I197" s="1" t="s">
        <v>56</v>
      </c>
      <c r="J197" s="1">
        <v>2001.0</v>
      </c>
      <c r="K197" s="1" t="s">
        <v>31</v>
      </c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1">
        <v>1.1000716E7</v>
      </c>
      <c r="B198" s="1" t="s">
        <v>1591</v>
      </c>
      <c r="C198" s="1" t="s">
        <v>51</v>
      </c>
      <c r="D198" s="1" t="s">
        <v>1593</v>
      </c>
      <c r="E198" s="1" t="s">
        <v>1595</v>
      </c>
      <c r="F198" s="1" t="s">
        <v>1597</v>
      </c>
      <c r="G198" s="1" t="s">
        <v>31</v>
      </c>
      <c r="H198" s="1" t="s">
        <v>55</v>
      </c>
      <c r="I198" s="1" t="s">
        <v>56</v>
      </c>
      <c r="J198" s="1">
        <v>1101.0</v>
      </c>
      <c r="K198" s="1" t="s">
        <v>31</v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1">
        <v>1.1000717E7</v>
      </c>
      <c r="B199" s="1" t="s">
        <v>1598</v>
      </c>
      <c r="C199" s="1" t="s">
        <v>51</v>
      </c>
      <c r="D199" s="1" t="s">
        <v>1593</v>
      </c>
      <c r="E199" s="1" t="s">
        <v>1600</v>
      </c>
      <c r="F199" s="1" t="s">
        <v>31</v>
      </c>
      <c r="G199" s="1" t="s">
        <v>31</v>
      </c>
      <c r="H199" s="1" t="s">
        <v>412</v>
      </c>
      <c r="I199" s="1" t="s">
        <v>56</v>
      </c>
      <c r="J199" s="1">
        <v>1101.0</v>
      </c>
      <c r="K199" s="1" t="s">
        <v>31</v>
      </c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1">
        <v>1.1000718E7</v>
      </c>
      <c r="B200" s="1" t="s">
        <v>1602</v>
      </c>
      <c r="C200" s="1" t="s">
        <v>51</v>
      </c>
      <c r="D200" s="1" t="s">
        <v>31</v>
      </c>
      <c r="E200" s="1" t="s">
        <v>1603</v>
      </c>
      <c r="F200" s="1" t="s">
        <v>1604</v>
      </c>
      <c r="G200" s="1" t="s">
        <v>31</v>
      </c>
      <c r="H200" s="1" t="s">
        <v>55</v>
      </c>
      <c r="I200" s="1" t="s">
        <v>56</v>
      </c>
      <c r="J200" s="1">
        <v>1101.0</v>
      </c>
      <c r="K200" s="1" t="s">
        <v>31</v>
      </c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1">
        <v>1.1000719E7</v>
      </c>
      <c r="B201" s="1" t="s">
        <v>1612</v>
      </c>
      <c r="C201" s="1" t="s">
        <v>51</v>
      </c>
      <c r="D201" s="1" t="s">
        <v>31</v>
      </c>
      <c r="E201" s="1" t="s">
        <v>31</v>
      </c>
      <c r="F201" s="1" t="s">
        <v>1614</v>
      </c>
      <c r="G201" s="1" t="s">
        <v>31</v>
      </c>
      <c r="H201" s="1" t="s">
        <v>55</v>
      </c>
      <c r="I201" s="1" t="s">
        <v>56</v>
      </c>
      <c r="J201" s="1">
        <v>1101.0</v>
      </c>
      <c r="K201" s="1" t="s">
        <v>31</v>
      </c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1">
        <v>1.100072E7</v>
      </c>
      <c r="B202" s="1" t="s">
        <v>1616</v>
      </c>
      <c r="C202" s="1" t="s">
        <v>51</v>
      </c>
      <c r="D202" s="1" t="s">
        <v>536</v>
      </c>
      <c r="E202" s="1" t="s">
        <v>1619</v>
      </c>
      <c r="F202" s="1" t="s">
        <v>1620</v>
      </c>
      <c r="G202" s="1" t="s">
        <v>31</v>
      </c>
      <c r="H202" s="1" t="s">
        <v>55</v>
      </c>
      <c r="I202" s="1" t="s">
        <v>56</v>
      </c>
      <c r="J202" s="1">
        <v>1002.0</v>
      </c>
      <c r="K202" s="1" t="s">
        <v>31</v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1">
        <v>1.1000721E7</v>
      </c>
      <c r="B203" s="1" t="s">
        <v>1628</v>
      </c>
      <c r="C203" s="1" t="s">
        <v>51</v>
      </c>
      <c r="D203" s="1" t="s">
        <v>536</v>
      </c>
      <c r="E203" s="1" t="s">
        <v>1629</v>
      </c>
      <c r="F203" s="1" t="s">
        <v>1620</v>
      </c>
      <c r="G203" s="1" t="s">
        <v>31</v>
      </c>
      <c r="H203" s="1" t="s">
        <v>55</v>
      </c>
      <c r="I203" s="1" t="s">
        <v>56</v>
      </c>
      <c r="J203" s="1">
        <v>1002.0</v>
      </c>
      <c r="K203" s="1" t="s">
        <v>31</v>
      </c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1">
        <v>1.1000722E7</v>
      </c>
      <c r="B204" s="1" t="s">
        <v>1633</v>
      </c>
      <c r="C204" s="1" t="s">
        <v>51</v>
      </c>
      <c r="D204" s="1" t="s">
        <v>536</v>
      </c>
      <c r="E204" s="1" t="s">
        <v>1636</v>
      </c>
      <c r="F204" s="1" t="s">
        <v>1620</v>
      </c>
      <c r="G204" s="1" t="s">
        <v>31</v>
      </c>
      <c r="H204" s="1" t="s">
        <v>55</v>
      </c>
      <c r="I204" s="1" t="s">
        <v>56</v>
      </c>
      <c r="J204" s="1">
        <v>1002.0</v>
      </c>
      <c r="K204" s="1" t="s">
        <v>31</v>
      </c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1">
        <v>1.1000723E7</v>
      </c>
      <c r="B205" s="1" t="s">
        <v>1644</v>
      </c>
      <c r="C205" s="1" t="s">
        <v>51</v>
      </c>
      <c r="D205" s="1" t="s">
        <v>536</v>
      </c>
      <c r="E205" s="1" t="s">
        <v>1645</v>
      </c>
      <c r="F205" s="1" t="s">
        <v>1620</v>
      </c>
      <c r="G205" s="1" t="s">
        <v>31</v>
      </c>
      <c r="H205" s="1" t="s">
        <v>55</v>
      </c>
      <c r="I205" s="1" t="s">
        <v>56</v>
      </c>
      <c r="J205" s="1">
        <v>1002.0</v>
      </c>
      <c r="K205" s="1" t="s">
        <v>31</v>
      </c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1">
        <v>1.1000724E7</v>
      </c>
      <c r="B206" s="1" t="s">
        <v>1651</v>
      </c>
      <c r="C206" s="1" t="s">
        <v>51</v>
      </c>
      <c r="D206" s="1" t="s">
        <v>536</v>
      </c>
      <c r="E206" s="1" t="s">
        <v>1653</v>
      </c>
      <c r="F206" s="1" t="s">
        <v>1620</v>
      </c>
      <c r="G206" s="1" t="s">
        <v>31</v>
      </c>
      <c r="H206" s="1" t="s">
        <v>55</v>
      </c>
      <c r="I206" s="1" t="s">
        <v>56</v>
      </c>
      <c r="J206" s="1">
        <v>1002.0</v>
      </c>
      <c r="K206" s="1" t="s">
        <v>31</v>
      </c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1">
        <v>1.1000725E7</v>
      </c>
      <c r="B207" s="1" t="s">
        <v>1658</v>
      </c>
      <c r="C207" s="1" t="s">
        <v>51</v>
      </c>
      <c r="D207" s="1" t="s">
        <v>536</v>
      </c>
      <c r="E207" s="1" t="s">
        <v>1659</v>
      </c>
      <c r="F207" s="1" t="s">
        <v>1620</v>
      </c>
      <c r="G207" s="1" t="s">
        <v>31</v>
      </c>
      <c r="H207" s="1" t="s">
        <v>55</v>
      </c>
      <c r="I207" s="1" t="s">
        <v>56</v>
      </c>
      <c r="J207" s="1">
        <v>1002.0</v>
      </c>
      <c r="K207" s="1" t="s">
        <v>31</v>
      </c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1">
        <v>1.1000726E7</v>
      </c>
      <c r="B208" s="1" t="s">
        <v>1647</v>
      </c>
      <c r="C208" s="1" t="s">
        <v>51</v>
      </c>
      <c r="D208" s="1" t="s">
        <v>536</v>
      </c>
      <c r="E208" s="1" t="s">
        <v>1663</v>
      </c>
      <c r="F208" s="1" t="s">
        <v>1620</v>
      </c>
      <c r="G208" s="1" t="s">
        <v>31</v>
      </c>
      <c r="H208" s="1" t="s">
        <v>55</v>
      </c>
      <c r="I208" s="1" t="s">
        <v>56</v>
      </c>
      <c r="J208" s="1">
        <v>1002.0</v>
      </c>
      <c r="K208" s="1" t="s">
        <v>31</v>
      </c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1">
        <v>1.1000727E7</v>
      </c>
      <c r="B209" s="1" t="s">
        <v>1669</v>
      </c>
      <c r="C209" s="1" t="s">
        <v>51</v>
      </c>
      <c r="D209" s="1" t="s">
        <v>536</v>
      </c>
      <c r="E209" s="1" t="s">
        <v>1670</v>
      </c>
      <c r="F209" s="1" t="s">
        <v>1620</v>
      </c>
      <c r="G209" s="1" t="s">
        <v>31</v>
      </c>
      <c r="H209" s="1" t="s">
        <v>55</v>
      </c>
      <c r="I209" s="1" t="s">
        <v>56</v>
      </c>
      <c r="J209" s="1">
        <v>1002.0</v>
      </c>
      <c r="K209" s="1" t="s">
        <v>31</v>
      </c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1">
        <v>1.1000728E7</v>
      </c>
      <c r="B210" s="1" t="s">
        <v>1680</v>
      </c>
      <c r="C210" s="1" t="s">
        <v>51</v>
      </c>
      <c r="D210" s="1" t="s">
        <v>536</v>
      </c>
      <c r="E210" s="1" t="s">
        <v>1682</v>
      </c>
      <c r="F210" s="1" t="s">
        <v>1683</v>
      </c>
      <c r="G210" s="1" t="s">
        <v>31</v>
      </c>
      <c r="H210" s="1" t="s">
        <v>55</v>
      </c>
      <c r="I210" s="1" t="s">
        <v>56</v>
      </c>
      <c r="J210" s="1">
        <v>1002.0</v>
      </c>
      <c r="K210" s="1" t="s">
        <v>31</v>
      </c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1">
        <v>1.1000729E7</v>
      </c>
      <c r="B211" s="1" t="s">
        <v>1686</v>
      </c>
      <c r="C211" s="1" t="s">
        <v>51</v>
      </c>
      <c r="D211" s="1" t="s">
        <v>536</v>
      </c>
      <c r="E211" s="1" t="s">
        <v>1689</v>
      </c>
      <c r="F211" s="1" t="s">
        <v>1683</v>
      </c>
      <c r="G211" s="1" t="s">
        <v>31</v>
      </c>
      <c r="H211" s="1" t="s">
        <v>55</v>
      </c>
      <c r="I211" s="1" t="s">
        <v>56</v>
      </c>
      <c r="J211" s="1">
        <v>1002.0</v>
      </c>
      <c r="K211" s="1" t="s">
        <v>31</v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1">
        <v>1.100073E7</v>
      </c>
      <c r="B212" s="1" t="s">
        <v>1694</v>
      </c>
      <c r="C212" s="1" t="s">
        <v>51</v>
      </c>
      <c r="D212" s="1" t="s">
        <v>536</v>
      </c>
      <c r="E212" s="1" t="s">
        <v>1696</v>
      </c>
      <c r="F212" s="1" t="s">
        <v>1620</v>
      </c>
      <c r="G212" s="1" t="s">
        <v>31</v>
      </c>
      <c r="H212" s="1" t="s">
        <v>55</v>
      </c>
      <c r="I212" s="1" t="s">
        <v>56</v>
      </c>
      <c r="J212" s="1">
        <v>1002.0</v>
      </c>
      <c r="K212" s="1" t="s">
        <v>31</v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1">
        <v>1.1000735E7</v>
      </c>
      <c r="B213" s="1" t="s">
        <v>1699</v>
      </c>
      <c r="C213" s="1" t="s">
        <v>51</v>
      </c>
      <c r="D213" s="1" t="s">
        <v>1700</v>
      </c>
      <c r="E213" s="1" t="s">
        <v>1701</v>
      </c>
      <c r="F213" s="1" t="s">
        <v>1703</v>
      </c>
      <c r="G213" s="1" t="s">
        <v>369</v>
      </c>
      <c r="H213" s="1" t="s">
        <v>55</v>
      </c>
      <c r="I213" s="1" t="s">
        <v>56</v>
      </c>
      <c r="J213" s="1">
        <v>2001.0</v>
      </c>
      <c r="K213" s="1" t="s">
        <v>31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1">
        <v>1.1000736E7</v>
      </c>
      <c r="B214" s="1" t="s">
        <v>1711</v>
      </c>
      <c r="C214" s="1" t="s">
        <v>51</v>
      </c>
      <c r="D214" s="1" t="s">
        <v>1713</v>
      </c>
      <c r="E214" s="32" t="s">
        <v>817</v>
      </c>
      <c r="F214" s="1" t="s">
        <v>1714</v>
      </c>
      <c r="G214" s="1" t="s">
        <v>369</v>
      </c>
      <c r="H214" s="1" t="s">
        <v>55</v>
      </c>
      <c r="I214" s="1" t="s">
        <v>56</v>
      </c>
      <c r="J214" s="1">
        <v>2001.0</v>
      </c>
      <c r="K214" s="1" t="s">
        <v>31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1">
        <v>1.1000742E7</v>
      </c>
      <c r="B215" s="1" t="s">
        <v>1716</v>
      </c>
      <c r="C215" s="1" t="s">
        <v>51</v>
      </c>
      <c r="D215" s="1" t="s">
        <v>1717</v>
      </c>
      <c r="E215" s="1" t="s">
        <v>1719</v>
      </c>
      <c r="F215" s="1" t="s">
        <v>1720</v>
      </c>
      <c r="G215" s="1" t="s">
        <v>31</v>
      </c>
      <c r="H215" s="1" t="s">
        <v>55</v>
      </c>
      <c r="I215" s="1" t="s">
        <v>56</v>
      </c>
      <c r="J215" s="1">
        <v>1501.0</v>
      </c>
      <c r="K215" s="1" t="s">
        <v>31</v>
      </c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1">
        <v>1.1000753E7</v>
      </c>
      <c r="B216" s="1" t="s">
        <v>1727</v>
      </c>
      <c r="C216" s="1" t="s">
        <v>51</v>
      </c>
      <c r="D216" s="1" t="s">
        <v>1728</v>
      </c>
      <c r="E216" s="1" t="s">
        <v>31</v>
      </c>
      <c r="F216" s="1" t="s">
        <v>1729</v>
      </c>
      <c r="G216" s="1" t="s">
        <v>31</v>
      </c>
      <c r="H216" s="1" t="s">
        <v>412</v>
      </c>
      <c r="I216" s="1" t="s">
        <v>56</v>
      </c>
      <c r="J216" s="1">
        <v>1101.0</v>
      </c>
      <c r="K216" s="1" t="s">
        <v>31</v>
      </c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1">
        <v>1.100076E7</v>
      </c>
      <c r="B217" s="1" t="s">
        <v>1730</v>
      </c>
      <c r="C217" s="1" t="s">
        <v>51</v>
      </c>
      <c r="D217" s="1" t="s">
        <v>1731</v>
      </c>
      <c r="E217" s="1" t="s">
        <v>1732</v>
      </c>
      <c r="F217" s="1" t="s">
        <v>1733</v>
      </c>
      <c r="G217" s="1" t="s">
        <v>31</v>
      </c>
      <c r="H217" s="1" t="s">
        <v>55</v>
      </c>
      <c r="I217" s="1" t="s">
        <v>56</v>
      </c>
      <c r="J217" s="1">
        <v>1031.0</v>
      </c>
      <c r="K217" s="1" t="s">
        <v>31</v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1">
        <v>1.1000761E7</v>
      </c>
      <c r="B218" s="1" t="s">
        <v>1741</v>
      </c>
      <c r="C218" s="1" t="s">
        <v>51</v>
      </c>
      <c r="D218" s="1" t="s">
        <v>664</v>
      </c>
      <c r="E218" s="1" t="s">
        <v>1742</v>
      </c>
      <c r="F218" s="1" t="s">
        <v>1743</v>
      </c>
      <c r="G218" s="1" t="s">
        <v>31</v>
      </c>
      <c r="H218" s="1" t="s">
        <v>55</v>
      </c>
      <c r="I218" s="1" t="s">
        <v>56</v>
      </c>
      <c r="J218" s="1">
        <v>2001.0</v>
      </c>
      <c r="K218" s="1" t="s">
        <v>31</v>
      </c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1">
        <v>1.1000763E7</v>
      </c>
      <c r="B219" s="1" t="s">
        <v>1745</v>
      </c>
      <c r="C219" s="1" t="s">
        <v>51</v>
      </c>
      <c r="D219" s="1" t="s">
        <v>1001</v>
      </c>
      <c r="E219" s="1" t="s">
        <v>1746</v>
      </c>
      <c r="F219" s="1" t="s">
        <v>1747</v>
      </c>
      <c r="G219" s="1" t="s">
        <v>31</v>
      </c>
      <c r="H219" s="1" t="s">
        <v>55</v>
      </c>
      <c r="I219" s="1" t="s">
        <v>56</v>
      </c>
      <c r="J219" s="1">
        <v>1041.0</v>
      </c>
      <c r="K219" s="1" t="s">
        <v>31</v>
      </c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1">
        <v>1.1000785E7</v>
      </c>
      <c r="B220" s="1" t="s">
        <v>1749</v>
      </c>
      <c r="C220" s="1" t="s">
        <v>51</v>
      </c>
      <c r="D220" s="1" t="s">
        <v>536</v>
      </c>
      <c r="E220" s="1" t="s">
        <v>1751</v>
      </c>
      <c r="F220" s="1" t="s">
        <v>1753</v>
      </c>
      <c r="G220" s="1" t="s">
        <v>31</v>
      </c>
      <c r="H220" s="1" t="s">
        <v>412</v>
      </c>
      <c r="I220" s="1" t="s">
        <v>56</v>
      </c>
      <c r="J220" s="1">
        <v>1002.0</v>
      </c>
      <c r="K220" s="1" t="s">
        <v>31</v>
      </c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1">
        <v>1.1000786E7</v>
      </c>
      <c r="B221" s="1" t="s">
        <v>1759</v>
      </c>
      <c r="C221" s="1" t="s">
        <v>51</v>
      </c>
      <c r="D221" s="1" t="s">
        <v>536</v>
      </c>
      <c r="E221" s="1" t="s">
        <v>1760</v>
      </c>
      <c r="F221" s="1" t="s">
        <v>1753</v>
      </c>
      <c r="G221" s="1" t="s">
        <v>1565</v>
      </c>
      <c r="H221" s="1" t="s">
        <v>412</v>
      </c>
      <c r="I221" s="1" t="s">
        <v>56</v>
      </c>
      <c r="J221" s="1">
        <v>1002.0</v>
      </c>
      <c r="K221" s="1" t="s">
        <v>31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1">
        <v>1.1000787E7</v>
      </c>
      <c r="B222" s="1" t="s">
        <v>1765</v>
      </c>
      <c r="C222" s="1" t="s">
        <v>51</v>
      </c>
      <c r="D222" s="1" t="s">
        <v>536</v>
      </c>
      <c r="E222" s="1" t="s">
        <v>1766</v>
      </c>
      <c r="F222" s="1" t="s">
        <v>1753</v>
      </c>
      <c r="G222" s="1" t="s">
        <v>31</v>
      </c>
      <c r="H222" s="1" t="s">
        <v>412</v>
      </c>
      <c r="I222" s="1" t="s">
        <v>56</v>
      </c>
      <c r="J222" s="1">
        <v>1002.0</v>
      </c>
      <c r="K222" s="1" t="s">
        <v>31</v>
      </c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1">
        <v>1.1000788E7</v>
      </c>
      <c r="B223" s="1" t="s">
        <v>1769</v>
      </c>
      <c r="C223" s="1" t="s">
        <v>51</v>
      </c>
      <c r="D223" s="1" t="s">
        <v>536</v>
      </c>
      <c r="E223" s="1" t="s">
        <v>1770</v>
      </c>
      <c r="F223" s="1" t="s">
        <v>1753</v>
      </c>
      <c r="G223" s="1" t="s">
        <v>31</v>
      </c>
      <c r="H223" s="1" t="s">
        <v>412</v>
      </c>
      <c r="I223" s="1" t="s">
        <v>56</v>
      </c>
      <c r="J223" s="1">
        <v>1002.0</v>
      </c>
      <c r="K223" s="1" t="s">
        <v>31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1">
        <v>1.1000789E7</v>
      </c>
      <c r="B224" s="1" t="s">
        <v>1773</v>
      </c>
      <c r="C224" s="1" t="s">
        <v>51</v>
      </c>
      <c r="D224" s="1" t="s">
        <v>536</v>
      </c>
      <c r="E224" s="1" t="s">
        <v>1775</v>
      </c>
      <c r="F224" s="1" t="s">
        <v>1753</v>
      </c>
      <c r="G224" s="1" t="s">
        <v>31</v>
      </c>
      <c r="H224" s="1" t="s">
        <v>412</v>
      </c>
      <c r="I224" s="1" t="s">
        <v>56</v>
      </c>
      <c r="J224" s="1">
        <v>1002.0</v>
      </c>
      <c r="K224" s="1" t="s">
        <v>31</v>
      </c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1">
        <v>1.100079E7</v>
      </c>
      <c r="B225" s="1" t="s">
        <v>1778</v>
      </c>
      <c r="C225" s="1" t="s">
        <v>51</v>
      </c>
      <c r="D225" s="1" t="s">
        <v>536</v>
      </c>
      <c r="E225" s="1" t="s">
        <v>1780</v>
      </c>
      <c r="F225" s="1" t="s">
        <v>1753</v>
      </c>
      <c r="G225" s="1" t="s">
        <v>31</v>
      </c>
      <c r="H225" s="1" t="s">
        <v>412</v>
      </c>
      <c r="I225" s="1" t="s">
        <v>56</v>
      </c>
      <c r="J225" s="1">
        <v>1002.0</v>
      </c>
      <c r="K225" s="1" t="s">
        <v>31</v>
      </c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1">
        <v>1.1000806E7</v>
      </c>
      <c r="B226" s="1" t="s">
        <v>1307</v>
      </c>
      <c r="C226" s="1" t="s">
        <v>51</v>
      </c>
      <c r="D226" s="1" t="s">
        <v>1782</v>
      </c>
      <c r="E226" s="1" t="s">
        <v>1782</v>
      </c>
      <c r="F226" s="1" t="s">
        <v>1782</v>
      </c>
      <c r="G226" s="1" t="s">
        <v>31</v>
      </c>
      <c r="H226" s="1" t="s">
        <v>1783</v>
      </c>
      <c r="I226" s="1" t="s">
        <v>56</v>
      </c>
      <c r="J226" s="1">
        <v>1001.0</v>
      </c>
      <c r="K226" s="1" t="s">
        <v>31</v>
      </c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1">
        <v>1.1000807E7</v>
      </c>
      <c r="B227" s="1" t="s">
        <v>1787</v>
      </c>
      <c r="C227" s="1" t="s">
        <v>51</v>
      </c>
      <c r="D227" s="1" t="s">
        <v>1788</v>
      </c>
      <c r="E227" s="1" t="s">
        <v>31</v>
      </c>
      <c r="F227" s="1" t="s">
        <v>1789</v>
      </c>
      <c r="G227" s="1" t="s">
        <v>31</v>
      </c>
      <c r="H227" s="1" t="s">
        <v>55</v>
      </c>
      <c r="I227" s="1" t="s">
        <v>56</v>
      </c>
      <c r="J227" s="1">
        <v>2501.0</v>
      </c>
      <c r="K227" s="1" t="s">
        <v>31</v>
      </c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1">
        <v>1.1000808E7</v>
      </c>
      <c r="B228" s="1" t="s">
        <v>1702</v>
      </c>
      <c r="C228" s="1" t="s">
        <v>51</v>
      </c>
      <c r="D228" s="1" t="s">
        <v>1792</v>
      </c>
      <c r="E228" s="1" t="s">
        <v>1793</v>
      </c>
      <c r="F228" s="1" t="s">
        <v>1794</v>
      </c>
      <c r="G228" s="1" t="s">
        <v>31</v>
      </c>
      <c r="H228" s="1" t="s">
        <v>55</v>
      </c>
      <c r="I228" s="1" t="s">
        <v>56</v>
      </c>
      <c r="J228" s="1">
        <v>2001.0</v>
      </c>
      <c r="K228" s="1" t="s">
        <v>31</v>
      </c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1">
        <v>1.1000809E7</v>
      </c>
      <c r="B229" s="1" t="s">
        <v>1798</v>
      </c>
      <c r="C229" s="1" t="s">
        <v>51</v>
      </c>
      <c r="D229" s="1" t="s">
        <v>1555</v>
      </c>
      <c r="E229" s="1" t="s">
        <v>1801</v>
      </c>
      <c r="F229" s="1" t="s">
        <v>1803</v>
      </c>
      <c r="G229" s="1" t="s">
        <v>31</v>
      </c>
      <c r="H229" s="1" t="s">
        <v>55</v>
      </c>
      <c r="I229" s="1" t="s">
        <v>56</v>
      </c>
      <c r="J229" s="1">
        <v>1002.0</v>
      </c>
      <c r="K229" s="1" t="s">
        <v>31</v>
      </c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1">
        <v>1.100081E7</v>
      </c>
      <c r="B230" s="1" t="s">
        <v>1807</v>
      </c>
      <c r="C230" s="1" t="s">
        <v>51</v>
      </c>
      <c r="D230" s="1" t="s">
        <v>536</v>
      </c>
      <c r="E230" s="1" t="s">
        <v>1808</v>
      </c>
      <c r="F230" s="1" t="s">
        <v>1753</v>
      </c>
      <c r="G230" s="1" t="s">
        <v>31</v>
      </c>
      <c r="H230" s="1" t="s">
        <v>412</v>
      </c>
      <c r="I230" s="1" t="s">
        <v>56</v>
      </c>
      <c r="J230" s="1">
        <v>1002.0</v>
      </c>
      <c r="K230" s="1" t="s">
        <v>31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1">
        <v>1.1000811E7</v>
      </c>
      <c r="B231" s="1" t="s">
        <v>1814</v>
      </c>
      <c r="C231" s="1" t="s">
        <v>51</v>
      </c>
      <c r="D231" s="1" t="s">
        <v>536</v>
      </c>
      <c r="E231" s="1" t="s">
        <v>1817</v>
      </c>
      <c r="F231" s="1" t="s">
        <v>1818</v>
      </c>
      <c r="G231" s="1" t="s">
        <v>31</v>
      </c>
      <c r="H231" s="1" t="s">
        <v>412</v>
      </c>
      <c r="I231" s="1" t="s">
        <v>56</v>
      </c>
      <c r="J231" s="1">
        <v>1002.0</v>
      </c>
      <c r="K231" s="1" t="s">
        <v>31</v>
      </c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1">
        <v>1.1000812E7</v>
      </c>
      <c r="B232" s="1" t="s">
        <v>1823</v>
      </c>
      <c r="C232" s="1" t="s">
        <v>51</v>
      </c>
      <c r="D232" s="1" t="s">
        <v>536</v>
      </c>
      <c r="E232" s="1" t="s">
        <v>1824</v>
      </c>
      <c r="F232" s="1" t="s">
        <v>1818</v>
      </c>
      <c r="G232" s="1" t="s">
        <v>31</v>
      </c>
      <c r="H232" s="1" t="s">
        <v>412</v>
      </c>
      <c r="I232" s="1" t="s">
        <v>56</v>
      </c>
      <c r="J232" s="1">
        <v>1002.0</v>
      </c>
      <c r="K232" s="1" t="s">
        <v>31</v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1">
        <v>1.1000813E7</v>
      </c>
      <c r="B233" s="1" t="s">
        <v>1828</v>
      </c>
      <c r="C233" s="1" t="s">
        <v>51</v>
      </c>
      <c r="D233" s="1" t="s">
        <v>536</v>
      </c>
      <c r="E233" s="1" t="s">
        <v>1831</v>
      </c>
      <c r="F233" s="1" t="s">
        <v>1818</v>
      </c>
      <c r="G233" s="1" t="s">
        <v>31</v>
      </c>
      <c r="H233" s="1" t="s">
        <v>412</v>
      </c>
      <c r="I233" s="1" t="s">
        <v>56</v>
      </c>
      <c r="J233" s="1">
        <v>1002.0</v>
      </c>
      <c r="K233" s="1" t="s">
        <v>31</v>
      </c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1">
        <v>1.1000814E7</v>
      </c>
      <c r="B234" s="1" t="s">
        <v>1267</v>
      </c>
      <c r="C234" s="1" t="s">
        <v>51</v>
      </c>
      <c r="D234" s="1" t="s">
        <v>536</v>
      </c>
      <c r="E234" s="1" t="s">
        <v>1836</v>
      </c>
      <c r="F234" s="1" t="s">
        <v>1818</v>
      </c>
      <c r="G234" s="1" t="s">
        <v>31</v>
      </c>
      <c r="H234" s="1" t="s">
        <v>412</v>
      </c>
      <c r="I234" s="1" t="s">
        <v>56</v>
      </c>
      <c r="J234" s="1">
        <v>1002.0</v>
      </c>
      <c r="K234" s="1" t="s">
        <v>31</v>
      </c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1">
        <v>1.1000815E7</v>
      </c>
      <c r="B235" s="1" t="s">
        <v>1837</v>
      </c>
      <c r="C235" s="1" t="s">
        <v>51</v>
      </c>
      <c r="D235" s="1" t="s">
        <v>1838</v>
      </c>
      <c r="E235" s="1" t="s">
        <v>1839</v>
      </c>
      <c r="F235" s="1" t="s">
        <v>1842</v>
      </c>
      <c r="G235" s="1" t="s">
        <v>31</v>
      </c>
      <c r="H235" s="1" t="s">
        <v>412</v>
      </c>
      <c r="I235" s="1" t="s">
        <v>56</v>
      </c>
      <c r="J235" s="1">
        <v>1002.0</v>
      </c>
      <c r="K235" s="1" t="s">
        <v>31</v>
      </c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1">
        <v>1.1000816E7</v>
      </c>
      <c r="B236" s="1" t="s">
        <v>1848</v>
      </c>
      <c r="C236" s="1" t="s">
        <v>51</v>
      </c>
      <c r="D236" s="1" t="s">
        <v>1850</v>
      </c>
      <c r="E236" s="1" t="s">
        <v>1851</v>
      </c>
      <c r="F236" s="1" t="s">
        <v>1852</v>
      </c>
      <c r="G236" s="1" t="s">
        <v>31</v>
      </c>
      <c r="H236" s="1" t="s">
        <v>412</v>
      </c>
      <c r="I236" s="1" t="s">
        <v>56</v>
      </c>
      <c r="J236" s="1">
        <v>1002.0</v>
      </c>
      <c r="K236" s="1" t="s">
        <v>31</v>
      </c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1">
        <v>1.1000817E7</v>
      </c>
      <c r="B237" s="1" t="s">
        <v>1855</v>
      </c>
      <c r="C237" s="1" t="s">
        <v>51</v>
      </c>
      <c r="D237" s="1" t="s">
        <v>1856</v>
      </c>
      <c r="E237" s="1" t="s">
        <v>1857</v>
      </c>
      <c r="F237" s="1" t="s">
        <v>1858</v>
      </c>
      <c r="G237" s="1" t="s">
        <v>31</v>
      </c>
      <c r="H237" s="1" t="s">
        <v>412</v>
      </c>
      <c r="I237" s="1" t="s">
        <v>56</v>
      </c>
      <c r="J237" s="1">
        <v>1002.0</v>
      </c>
      <c r="K237" s="1" t="s">
        <v>31</v>
      </c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1">
        <v>1.1000818E7</v>
      </c>
      <c r="B238" s="1" t="s">
        <v>1865</v>
      </c>
      <c r="C238" s="1" t="s">
        <v>51</v>
      </c>
      <c r="D238" s="1" t="s">
        <v>1856</v>
      </c>
      <c r="E238" s="1" t="s">
        <v>1868</v>
      </c>
      <c r="F238" s="1" t="s">
        <v>1858</v>
      </c>
      <c r="G238" s="1" t="s">
        <v>31</v>
      </c>
      <c r="H238" s="1" t="s">
        <v>412</v>
      </c>
      <c r="I238" s="1" t="s">
        <v>56</v>
      </c>
      <c r="J238" s="1">
        <v>1002.0</v>
      </c>
      <c r="K238" s="1" t="s">
        <v>31</v>
      </c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1">
        <v>1.1000823E7</v>
      </c>
      <c r="B239" s="1" t="s">
        <v>1281</v>
      </c>
      <c r="C239" s="1" t="s">
        <v>51</v>
      </c>
      <c r="D239" s="1" t="s">
        <v>536</v>
      </c>
      <c r="E239" s="1" t="s">
        <v>1871</v>
      </c>
      <c r="F239" s="1" t="s">
        <v>1753</v>
      </c>
      <c r="G239" s="1" t="s">
        <v>31</v>
      </c>
      <c r="H239" s="1" t="s">
        <v>412</v>
      </c>
      <c r="I239" s="1" t="s">
        <v>56</v>
      </c>
      <c r="J239" s="1">
        <v>1002.0</v>
      </c>
      <c r="K239" s="1" t="s">
        <v>31</v>
      </c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1">
        <v>1.1000824E7</v>
      </c>
      <c r="B240" s="1" t="s">
        <v>1879</v>
      </c>
      <c r="C240" s="1" t="s">
        <v>51</v>
      </c>
      <c r="D240" s="1" t="s">
        <v>1881</v>
      </c>
      <c r="E240" s="1" t="s">
        <v>31</v>
      </c>
      <c r="F240" s="1" t="s">
        <v>31</v>
      </c>
      <c r="G240" s="1" t="s">
        <v>31</v>
      </c>
      <c r="H240" s="1" t="s">
        <v>55</v>
      </c>
      <c r="I240" s="1" t="s">
        <v>56</v>
      </c>
      <c r="J240" s="1">
        <v>2501.0</v>
      </c>
      <c r="K240" s="1" t="s">
        <v>31</v>
      </c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1">
        <v>1.1000833E7</v>
      </c>
      <c r="B241" s="1" t="s">
        <v>1885</v>
      </c>
      <c r="C241" s="1" t="s">
        <v>51</v>
      </c>
      <c r="D241" s="1" t="s">
        <v>1887</v>
      </c>
      <c r="E241" s="1" t="s">
        <v>1890</v>
      </c>
      <c r="F241" s="1" t="s">
        <v>1891</v>
      </c>
      <c r="G241" s="1" t="s">
        <v>31</v>
      </c>
      <c r="H241" s="1" t="s">
        <v>412</v>
      </c>
      <c r="I241" s="1" t="s">
        <v>56</v>
      </c>
      <c r="J241" s="1">
        <v>1002.0</v>
      </c>
      <c r="K241" s="1" t="s">
        <v>31</v>
      </c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1">
        <v>1.1000834E7</v>
      </c>
      <c r="B242" s="1" t="s">
        <v>1896</v>
      </c>
      <c r="C242" s="1" t="s">
        <v>51</v>
      </c>
      <c r="D242" s="1" t="s">
        <v>1898</v>
      </c>
      <c r="E242" s="1" t="s">
        <v>1900</v>
      </c>
      <c r="F242" s="1" t="s">
        <v>1901</v>
      </c>
      <c r="G242" s="1" t="s">
        <v>31</v>
      </c>
      <c r="H242" s="1" t="s">
        <v>412</v>
      </c>
      <c r="I242" s="1" t="s">
        <v>56</v>
      </c>
      <c r="J242" s="1">
        <v>1002.0</v>
      </c>
      <c r="K242" s="1" t="s">
        <v>31</v>
      </c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1">
        <v>1.1000835E7</v>
      </c>
      <c r="B243" s="1" t="s">
        <v>1906</v>
      </c>
      <c r="C243" s="1" t="s">
        <v>51</v>
      </c>
      <c r="D243" s="1" t="s">
        <v>1907</v>
      </c>
      <c r="E243" s="1" t="s">
        <v>1908</v>
      </c>
      <c r="F243" s="1" t="s">
        <v>31</v>
      </c>
      <c r="G243" s="1" t="s">
        <v>31</v>
      </c>
      <c r="H243" s="1" t="s">
        <v>55</v>
      </c>
      <c r="I243" s="1" t="s">
        <v>56</v>
      </c>
      <c r="J243" s="1">
        <v>2001.0</v>
      </c>
      <c r="K243" s="1" t="s">
        <v>31</v>
      </c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1">
        <v>1.1000838E7</v>
      </c>
      <c r="B244" s="1" t="s">
        <v>1910</v>
      </c>
      <c r="C244" s="1" t="s">
        <v>51</v>
      </c>
      <c r="D244" s="1" t="s">
        <v>1912</v>
      </c>
      <c r="E244" s="1" t="s">
        <v>1914</v>
      </c>
      <c r="F244" s="1" t="s">
        <v>1915</v>
      </c>
      <c r="G244" s="1" t="s">
        <v>31</v>
      </c>
      <c r="H244" s="1" t="s">
        <v>412</v>
      </c>
      <c r="I244" s="1" t="s">
        <v>56</v>
      </c>
      <c r="J244" s="1">
        <v>1002.0</v>
      </c>
      <c r="K244" s="1" t="s">
        <v>31</v>
      </c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1">
        <v>1.1000839E7</v>
      </c>
      <c r="B245" s="1" t="s">
        <v>1922</v>
      </c>
      <c r="C245" s="1" t="s">
        <v>51</v>
      </c>
      <c r="D245" s="1" t="s">
        <v>1912</v>
      </c>
      <c r="E245" s="1" t="s">
        <v>1923</v>
      </c>
      <c r="F245" s="1" t="s">
        <v>1915</v>
      </c>
      <c r="G245" s="1" t="s">
        <v>31</v>
      </c>
      <c r="H245" s="1" t="s">
        <v>412</v>
      </c>
      <c r="I245" s="1" t="s">
        <v>56</v>
      </c>
      <c r="J245" s="1">
        <v>1002.0</v>
      </c>
      <c r="K245" s="1" t="s">
        <v>31</v>
      </c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1">
        <v>1.100084E7</v>
      </c>
      <c r="B246" s="1" t="s">
        <v>1927</v>
      </c>
      <c r="C246" s="1" t="s">
        <v>51</v>
      </c>
      <c r="D246" s="1" t="s">
        <v>1912</v>
      </c>
      <c r="E246" s="1" t="s">
        <v>1930</v>
      </c>
      <c r="F246" s="1" t="s">
        <v>1915</v>
      </c>
      <c r="G246" s="1" t="s">
        <v>31</v>
      </c>
      <c r="H246" s="1" t="s">
        <v>412</v>
      </c>
      <c r="I246" s="1" t="s">
        <v>56</v>
      </c>
      <c r="J246" s="1">
        <v>1002.0</v>
      </c>
      <c r="K246" s="1" t="s">
        <v>31</v>
      </c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1">
        <v>1.1000843E7</v>
      </c>
      <c r="B247" s="1" t="s">
        <v>1936</v>
      </c>
      <c r="C247" s="1" t="s">
        <v>51</v>
      </c>
      <c r="D247" s="1" t="s">
        <v>1576</v>
      </c>
      <c r="E247" s="1" t="s">
        <v>1937</v>
      </c>
      <c r="F247" s="1" t="s">
        <v>1938</v>
      </c>
      <c r="G247" s="1" t="s">
        <v>31</v>
      </c>
      <c r="H247" s="1" t="s">
        <v>412</v>
      </c>
      <c r="I247" s="1" t="s">
        <v>56</v>
      </c>
      <c r="J247" s="1">
        <v>1002.0</v>
      </c>
      <c r="K247" s="1" t="s">
        <v>31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1">
        <v>1.1000844E7</v>
      </c>
      <c r="B248" s="1" t="s">
        <v>1939</v>
      </c>
      <c r="C248" s="1" t="s">
        <v>51</v>
      </c>
      <c r="D248" s="1" t="s">
        <v>1576</v>
      </c>
      <c r="E248" s="1" t="s">
        <v>1940</v>
      </c>
      <c r="F248" s="1" t="s">
        <v>1938</v>
      </c>
      <c r="G248" s="1" t="s">
        <v>31</v>
      </c>
      <c r="H248" s="1" t="s">
        <v>412</v>
      </c>
      <c r="I248" s="1" t="s">
        <v>56</v>
      </c>
      <c r="J248" s="1">
        <v>1002.0</v>
      </c>
      <c r="K248" s="1" t="s">
        <v>31</v>
      </c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1">
        <v>1.1000845E7</v>
      </c>
      <c r="B249" s="1" t="s">
        <v>1293</v>
      </c>
      <c r="C249" s="1" t="s">
        <v>51</v>
      </c>
      <c r="D249" s="1" t="s">
        <v>1576</v>
      </c>
      <c r="E249" s="1" t="s">
        <v>1950</v>
      </c>
      <c r="F249" s="1" t="s">
        <v>1938</v>
      </c>
      <c r="G249" s="1" t="s">
        <v>31</v>
      </c>
      <c r="H249" s="1" t="s">
        <v>412</v>
      </c>
      <c r="I249" s="1" t="s">
        <v>56</v>
      </c>
      <c r="J249" s="1">
        <v>1002.0</v>
      </c>
      <c r="K249" s="1" t="s">
        <v>31</v>
      </c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1">
        <v>1.1000846E7</v>
      </c>
      <c r="B250" s="1" t="s">
        <v>1953</v>
      </c>
      <c r="C250" s="1" t="s">
        <v>51</v>
      </c>
      <c r="D250" s="1" t="s">
        <v>1576</v>
      </c>
      <c r="E250" s="1" t="s">
        <v>1955</v>
      </c>
      <c r="F250" s="1" t="s">
        <v>1938</v>
      </c>
      <c r="G250" s="1" t="s">
        <v>31</v>
      </c>
      <c r="H250" s="1" t="s">
        <v>412</v>
      </c>
      <c r="I250" s="1" t="s">
        <v>56</v>
      </c>
      <c r="J250" s="1">
        <v>1002.0</v>
      </c>
      <c r="K250" s="1" t="s">
        <v>31</v>
      </c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1">
        <v>1.1000847E7</v>
      </c>
      <c r="B251" s="1" t="s">
        <v>1964</v>
      </c>
      <c r="C251" s="1" t="s">
        <v>51</v>
      </c>
      <c r="D251" s="1" t="s">
        <v>1576</v>
      </c>
      <c r="E251" s="1" t="s">
        <v>1965</v>
      </c>
      <c r="F251" s="1" t="s">
        <v>1938</v>
      </c>
      <c r="G251" s="1" t="s">
        <v>31</v>
      </c>
      <c r="H251" s="1" t="s">
        <v>412</v>
      </c>
      <c r="I251" s="1" t="s">
        <v>56</v>
      </c>
      <c r="J251" s="1">
        <v>1002.0</v>
      </c>
      <c r="K251" s="1" t="s">
        <v>31</v>
      </c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1">
        <v>1.1000851E7</v>
      </c>
      <c r="B252" s="1" t="s">
        <v>1971</v>
      </c>
      <c r="C252" s="1" t="s">
        <v>51</v>
      </c>
      <c r="D252" s="1" t="s">
        <v>1973</v>
      </c>
      <c r="E252" s="1" t="s">
        <v>1974</v>
      </c>
      <c r="F252" s="1" t="s">
        <v>1975</v>
      </c>
      <c r="G252" s="1" t="s">
        <v>31</v>
      </c>
      <c r="H252" s="1" t="s">
        <v>55</v>
      </c>
      <c r="I252" s="1" t="s">
        <v>56</v>
      </c>
      <c r="J252" s="1">
        <v>2001.0</v>
      </c>
      <c r="K252" s="1" t="s">
        <v>31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1">
        <v>1.1000852E7</v>
      </c>
      <c r="B253" s="1" t="s">
        <v>1980</v>
      </c>
      <c r="C253" s="1" t="s">
        <v>51</v>
      </c>
      <c r="D253" s="1" t="s">
        <v>31</v>
      </c>
      <c r="E253" s="1" t="s">
        <v>31</v>
      </c>
      <c r="F253" s="1" t="s">
        <v>31</v>
      </c>
      <c r="G253" s="1" t="s">
        <v>369</v>
      </c>
      <c r="H253" s="1" t="s">
        <v>55</v>
      </c>
      <c r="I253" s="1" t="s">
        <v>56</v>
      </c>
      <c r="J253" s="1">
        <v>1201.0</v>
      </c>
      <c r="K253" s="1" t="s">
        <v>31</v>
      </c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1">
        <v>1.1000853E7</v>
      </c>
      <c r="B254" s="1" t="s">
        <v>1983</v>
      </c>
      <c r="C254" s="1" t="s">
        <v>51</v>
      </c>
      <c r="D254" s="1" t="s">
        <v>31</v>
      </c>
      <c r="E254" s="1" t="s">
        <v>31</v>
      </c>
      <c r="F254" s="1" t="s">
        <v>31</v>
      </c>
      <c r="G254" s="1" t="s">
        <v>369</v>
      </c>
      <c r="H254" s="1" t="s">
        <v>55</v>
      </c>
      <c r="I254" s="1" t="s">
        <v>56</v>
      </c>
      <c r="J254" s="1">
        <v>1201.0</v>
      </c>
      <c r="K254" s="1" t="s">
        <v>31</v>
      </c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1">
        <v>1.1000854E7</v>
      </c>
      <c r="B255" s="1" t="s">
        <v>1994</v>
      </c>
      <c r="C255" s="1" t="s">
        <v>51</v>
      </c>
      <c r="D255" s="1" t="s">
        <v>31</v>
      </c>
      <c r="E255" s="1" t="s">
        <v>31</v>
      </c>
      <c r="F255" s="1" t="s">
        <v>31</v>
      </c>
      <c r="G255" s="1" t="s">
        <v>369</v>
      </c>
      <c r="H255" s="1" t="s">
        <v>55</v>
      </c>
      <c r="I255" s="1" t="s">
        <v>56</v>
      </c>
      <c r="J255" s="1">
        <v>1201.0</v>
      </c>
      <c r="K255" s="1" t="s">
        <v>31</v>
      </c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1">
        <v>1.1000855E7</v>
      </c>
      <c r="B256" s="1" t="s">
        <v>1996</v>
      </c>
      <c r="C256" s="1" t="s">
        <v>51</v>
      </c>
      <c r="D256" s="1" t="s">
        <v>31</v>
      </c>
      <c r="E256" s="1" t="s">
        <v>31</v>
      </c>
      <c r="F256" s="1" t="s">
        <v>31</v>
      </c>
      <c r="G256" s="1" t="s">
        <v>369</v>
      </c>
      <c r="H256" s="1" t="s">
        <v>55</v>
      </c>
      <c r="I256" s="1" t="s">
        <v>56</v>
      </c>
      <c r="J256" s="1">
        <v>1201.0</v>
      </c>
      <c r="K256" s="1" t="s">
        <v>31</v>
      </c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1">
        <v>1.1000859E7</v>
      </c>
      <c r="B257" s="1" t="s">
        <v>2003</v>
      </c>
      <c r="C257" s="1" t="s">
        <v>51</v>
      </c>
      <c r="D257" s="1" t="s">
        <v>31</v>
      </c>
      <c r="E257" s="1" t="s">
        <v>2005</v>
      </c>
      <c r="F257" s="1" t="s">
        <v>2006</v>
      </c>
      <c r="G257" s="1" t="s">
        <v>369</v>
      </c>
      <c r="H257" s="1" t="s">
        <v>55</v>
      </c>
      <c r="I257" s="1" t="s">
        <v>56</v>
      </c>
      <c r="J257" s="1">
        <v>1201.0</v>
      </c>
      <c r="K257" s="1" t="s">
        <v>31</v>
      </c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1">
        <v>1.100086E7</v>
      </c>
      <c r="B258" s="1" t="s">
        <v>2008</v>
      </c>
      <c r="C258" s="1" t="s">
        <v>51</v>
      </c>
      <c r="D258" s="1" t="s">
        <v>31</v>
      </c>
      <c r="E258" s="1" t="s">
        <v>31</v>
      </c>
      <c r="F258" s="1" t="s">
        <v>31</v>
      </c>
      <c r="G258" s="1" t="s">
        <v>369</v>
      </c>
      <c r="H258" s="1" t="s">
        <v>55</v>
      </c>
      <c r="I258" s="1" t="s">
        <v>56</v>
      </c>
      <c r="J258" s="1">
        <v>1201.0</v>
      </c>
      <c r="K258" s="1" t="s">
        <v>31</v>
      </c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1">
        <v>1.1000861E7</v>
      </c>
      <c r="B259" s="1" t="s">
        <v>2012</v>
      </c>
      <c r="C259" s="1" t="s">
        <v>51</v>
      </c>
      <c r="D259" s="1" t="s">
        <v>31</v>
      </c>
      <c r="E259" s="1" t="s">
        <v>31</v>
      </c>
      <c r="F259" s="1" t="s">
        <v>31</v>
      </c>
      <c r="G259" s="1" t="s">
        <v>369</v>
      </c>
      <c r="H259" s="1" t="s">
        <v>55</v>
      </c>
      <c r="I259" s="1" t="s">
        <v>56</v>
      </c>
      <c r="J259" s="1">
        <v>1201.0</v>
      </c>
      <c r="K259" s="1" t="s">
        <v>31</v>
      </c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1">
        <v>1.1000862E7</v>
      </c>
      <c r="B260" s="1" t="s">
        <v>2015</v>
      </c>
      <c r="C260" s="1" t="s">
        <v>51</v>
      </c>
      <c r="D260" s="1" t="s">
        <v>31</v>
      </c>
      <c r="E260" s="1" t="s">
        <v>31</v>
      </c>
      <c r="F260" s="1" t="s">
        <v>31</v>
      </c>
      <c r="G260" s="1" t="s">
        <v>369</v>
      </c>
      <c r="H260" s="1" t="s">
        <v>55</v>
      </c>
      <c r="I260" s="1" t="s">
        <v>56</v>
      </c>
      <c r="J260" s="1">
        <v>1201.0</v>
      </c>
      <c r="K260" s="1" t="s">
        <v>31</v>
      </c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1">
        <v>1.1000902E7</v>
      </c>
      <c r="B261" s="1" t="s">
        <v>2019</v>
      </c>
      <c r="C261" s="1" t="s">
        <v>51</v>
      </c>
      <c r="D261" s="1" t="s">
        <v>2020</v>
      </c>
      <c r="E261" s="1" t="s">
        <v>2022</v>
      </c>
      <c r="F261" s="1" t="s">
        <v>31</v>
      </c>
      <c r="G261" s="1" t="s">
        <v>2024</v>
      </c>
      <c r="H261" s="1" t="s">
        <v>55</v>
      </c>
      <c r="I261" s="1" t="s">
        <v>56</v>
      </c>
      <c r="J261" s="1">
        <v>1201.0</v>
      </c>
      <c r="K261" s="1" t="s">
        <v>31</v>
      </c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1">
        <v>1.1000903E7</v>
      </c>
      <c r="B262" s="1" t="s">
        <v>1456</v>
      </c>
      <c r="C262" s="1" t="s">
        <v>51</v>
      </c>
      <c r="D262" s="1" t="s">
        <v>31</v>
      </c>
      <c r="E262" s="1" t="s">
        <v>31</v>
      </c>
      <c r="F262" s="1" t="s">
        <v>31</v>
      </c>
      <c r="G262" s="1" t="s">
        <v>369</v>
      </c>
      <c r="H262" s="1" t="s">
        <v>55</v>
      </c>
      <c r="I262" s="1" t="s">
        <v>56</v>
      </c>
      <c r="J262" s="1">
        <v>1201.0</v>
      </c>
      <c r="K262" s="1" t="s">
        <v>31</v>
      </c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1">
        <v>1.1000905E7</v>
      </c>
      <c r="B263" s="1" t="s">
        <v>2031</v>
      </c>
      <c r="C263" s="1" t="s">
        <v>51</v>
      </c>
      <c r="D263" s="1" t="s">
        <v>31</v>
      </c>
      <c r="E263" s="1" t="s">
        <v>2032</v>
      </c>
      <c r="F263" s="1" t="s">
        <v>2033</v>
      </c>
      <c r="G263" s="1" t="s">
        <v>369</v>
      </c>
      <c r="H263" s="1" t="s">
        <v>55</v>
      </c>
      <c r="I263" s="1" t="s">
        <v>56</v>
      </c>
      <c r="J263" s="1">
        <v>1201.0</v>
      </c>
      <c r="K263" s="1" t="s">
        <v>31</v>
      </c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1">
        <v>1.1000913E7</v>
      </c>
      <c r="B264" s="1" t="s">
        <v>2009</v>
      </c>
      <c r="C264" s="1" t="s">
        <v>51</v>
      </c>
      <c r="D264" s="1" t="s">
        <v>31</v>
      </c>
      <c r="E264" s="1" t="s">
        <v>31</v>
      </c>
      <c r="F264" s="1" t="s">
        <v>31</v>
      </c>
      <c r="G264" s="1" t="s">
        <v>369</v>
      </c>
      <c r="H264" s="1" t="s">
        <v>55</v>
      </c>
      <c r="I264" s="1" t="s">
        <v>56</v>
      </c>
      <c r="J264" s="1">
        <v>1201.0</v>
      </c>
      <c r="K264" s="1" t="s">
        <v>31</v>
      </c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1">
        <v>1.1000915E7</v>
      </c>
      <c r="B265" s="1" t="s">
        <v>2040</v>
      </c>
      <c r="C265" s="1" t="s">
        <v>51</v>
      </c>
      <c r="D265" s="1" t="s">
        <v>31</v>
      </c>
      <c r="E265" s="1" t="s">
        <v>31</v>
      </c>
      <c r="F265" s="1" t="s">
        <v>31</v>
      </c>
      <c r="G265" s="1" t="s">
        <v>369</v>
      </c>
      <c r="H265" s="1" t="s">
        <v>55</v>
      </c>
      <c r="I265" s="1" t="s">
        <v>56</v>
      </c>
      <c r="J265" s="1">
        <v>1201.0</v>
      </c>
      <c r="K265" s="1" t="s">
        <v>31</v>
      </c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1">
        <v>1.1000916E7</v>
      </c>
      <c r="B266" s="1" t="s">
        <v>2046</v>
      </c>
      <c r="C266" s="1" t="s">
        <v>51</v>
      </c>
      <c r="D266" s="1" t="s">
        <v>31</v>
      </c>
      <c r="E266" s="1" t="s">
        <v>2047</v>
      </c>
      <c r="F266" s="1" t="s">
        <v>2048</v>
      </c>
      <c r="G266" s="1" t="s">
        <v>369</v>
      </c>
      <c r="H266" s="1" t="s">
        <v>55</v>
      </c>
      <c r="I266" s="1" t="s">
        <v>56</v>
      </c>
      <c r="J266" s="1">
        <v>1201.0</v>
      </c>
      <c r="K266" s="1" t="s">
        <v>31</v>
      </c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1">
        <v>1.1000917E7</v>
      </c>
      <c r="B267" s="1" t="s">
        <v>2049</v>
      </c>
      <c r="C267" s="1" t="s">
        <v>51</v>
      </c>
      <c r="D267" s="1" t="s">
        <v>31</v>
      </c>
      <c r="E267" s="1" t="s">
        <v>31</v>
      </c>
      <c r="F267" s="1" t="s">
        <v>31</v>
      </c>
      <c r="G267" s="1" t="s">
        <v>369</v>
      </c>
      <c r="H267" s="1" t="s">
        <v>55</v>
      </c>
      <c r="I267" s="1" t="s">
        <v>56</v>
      </c>
      <c r="J267" s="1">
        <v>1201.0</v>
      </c>
      <c r="K267" s="1" t="s">
        <v>31</v>
      </c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1">
        <v>1.100092E7</v>
      </c>
      <c r="B268" s="1" t="s">
        <v>2056</v>
      </c>
      <c r="C268" s="1" t="s">
        <v>51</v>
      </c>
      <c r="D268" s="1" t="s">
        <v>31</v>
      </c>
      <c r="E268" s="1" t="s">
        <v>2058</v>
      </c>
      <c r="F268" s="1" t="s">
        <v>31</v>
      </c>
      <c r="G268" s="1" t="s">
        <v>369</v>
      </c>
      <c r="H268" s="1" t="s">
        <v>55</v>
      </c>
      <c r="I268" s="1" t="s">
        <v>56</v>
      </c>
      <c r="J268" s="1">
        <v>1201.0</v>
      </c>
      <c r="K268" s="1" t="s">
        <v>31</v>
      </c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1">
        <v>1.1000921E7</v>
      </c>
      <c r="B269" s="1" t="s">
        <v>2061</v>
      </c>
      <c r="C269" s="1" t="s">
        <v>51</v>
      </c>
      <c r="D269" s="1" t="s">
        <v>31</v>
      </c>
      <c r="E269" s="1" t="s">
        <v>2062</v>
      </c>
      <c r="F269" s="1" t="s">
        <v>31</v>
      </c>
      <c r="G269" s="1" t="s">
        <v>369</v>
      </c>
      <c r="H269" s="1" t="s">
        <v>55</v>
      </c>
      <c r="I269" s="1" t="s">
        <v>56</v>
      </c>
      <c r="J269" s="1">
        <v>1201.0</v>
      </c>
      <c r="K269" s="1" t="s">
        <v>31</v>
      </c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1">
        <v>1.1000922E7</v>
      </c>
      <c r="B270" s="1" t="s">
        <v>2063</v>
      </c>
      <c r="C270" s="1" t="s">
        <v>51</v>
      </c>
      <c r="D270" s="1" t="s">
        <v>31</v>
      </c>
      <c r="E270" s="1" t="s">
        <v>2064</v>
      </c>
      <c r="F270" s="1" t="s">
        <v>31</v>
      </c>
      <c r="G270" s="1" t="s">
        <v>369</v>
      </c>
      <c r="H270" s="1" t="s">
        <v>55</v>
      </c>
      <c r="I270" s="1" t="s">
        <v>56</v>
      </c>
      <c r="J270" s="1">
        <v>1201.0</v>
      </c>
      <c r="K270" s="1" t="s">
        <v>31</v>
      </c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1">
        <v>1.1000923E7</v>
      </c>
      <c r="B271" s="1" t="s">
        <v>2068</v>
      </c>
      <c r="C271" s="1" t="s">
        <v>51</v>
      </c>
      <c r="D271" s="1" t="s">
        <v>31</v>
      </c>
      <c r="E271" s="1" t="s">
        <v>31</v>
      </c>
      <c r="F271" s="1" t="s">
        <v>31</v>
      </c>
      <c r="G271" s="1" t="s">
        <v>369</v>
      </c>
      <c r="H271" s="1" t="s">
        <v>55</v>
      </c>
      <c r="I271" s="1" t="s">
        <v>56</v>
      </c>
      <c r="J271" s="1">
        <v>1201.0</v>
      </c>
      <c r="K271" s="1" t="s">
        <v>31</v>
      </c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1">
        <v>1.1000924E7</v>
      </c>
      <c r="B272" s="1" t="s">
        <v>2072</v>
      </c>
      <c r="C272" s="1" t="s">
        <v>51</v>
      </c>
      <c r="D272" s="1" t="s">
        <v>31</v>
      </c>
      <c r="E272" s="1" t="s">
        <v>2073</v>
      </c>
      <c r="F272" s="1" t="s">
        <v>2074</v>
      </c>
      <c r="G272" s="1" t="s">
        <v>369</v>
      </c>
      <c r="H272" s="1" t="s">
        <v>55</v>
      </c>
      <c r="I272" s="1" t="s">
        <v>56</v>
      </c>
      <c r="J272" s="1">
        <v>1201.0</v>
      </c>
      <c r="K272" s="1" t="s">
        <v>31</v>
      </c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1">
        <v>1.1000925E7</v>
      </c>
      <c r="B273" s="1" t="s">
        <v>2075</v>
      </c>
      <c r="C273" s="1" t="s">
        <v>51</v>
      </c>
      <c r="D273" s="1" t="s">
        <v>31</v>
      </c>
      <c r="E273" s="1" t="s">
        <v>2076</v>
      </c>
      <c r="F273" s="1" t="s">
        <v>2074</v>
      </c>
      <c r="G273" s="1" t="s">
        <v>369</v>
      </c>
      <c r="H273" s="1" t="s">
        <v>55</v>
      </c>
      <c r="I273" s="1" t="s">
        <v>56</v>
      </c>
      <c r="J273" s="1">
        <v>1201.0</v>
      </c>
      <c r="K273" s="1" t="s">
        <v>31</v>
      </c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1">
        <v>1.1000926E7</v>
      </c>
      <c r="B274" s="1" t="s">
        <v>2016</v>
      </c>
      <c r="C274" s="1" t="s">
        <v>51</v>
      </c>
      <c r="D274" s="1" t="s">
        <v>2083</v>
      </c>
      <c r="E274" s="1" t="s">
        <v>2084</v>
      </c>
      <c r="F274" s="1" t="s">
        <v>2086</v>
      </c>
      <c r="G274" s="1" t="s">
        <v>369</v>
      </c>
      <c r="H274" s="1" t="s">
        <v>55</v>
      </c>
      <c r="I274" s="1" t="s">
        <v>56</v>
      </c>
      <c r="J274" s="1">
        <v>1201.0</v>
      </c>
      <c r="K274" s="1" t="s">
        <v>31</v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1">
        <v>1.1000928E7</v>
      </c>
      <c r="B275" s="1" t="s">
        <v>2025</v>
      </c>
      <c r="C275" s="1" t="s">
        <v>51</v>
      </c>
      <c r="D275" s="1" t="s">
        <v>31</v>
      </c>
      <c r="E275" s="1" t="s">
        <v>31</v>
      </c>
      <c r="F275" s="1" t="s">
        <v>31</v>
      </c>
      <c r="G275" s="1" t="s">
        <v>369</v>
      </c>
      <c r="H275" s="1" t="s">
        <v>55</v>
      </c>
      <c r="I275" s="1" t="s">
        <v>56</v>
      </c>
      <c r="J275" s="1">
        <v>1201.0</v>
      </c>
      <c r="K275" s="1" t="s">
        <v>31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1">
        <v>1.1000929E7</v>
      </c>
      <c r="B276" s="1" t="s">
        <v>2091</v>
      </c>
      <c r="C276" s="1" t="s">
        <v>51</v>
      </c>
      <c r="D276" s="1" t="s">
        <v>31</v>
      </c>
      <c r="E276" s="1" t="s">
        <v>31</v>
      </c>
      <c r="F276" s="1" t="s">
        <v>31</v>
      </c>
      <c r="G276" s="1" t="s">
        <v>369</v>
      </c>
      <c r="H276" s="1" t="s">
        <v>55</v>
      </c>
      <c r="I276" s="1" t="s">
        <v>56</v>
      </c>
      <c r="J276" s="1">
        <v>1201.0</v>
      </c>
      <c r="K276" s="1" t="s">
        <v>31</v>
      </c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1">
        <v>1.100093E7</v>
      </c>
      <c r="B277" s="1" t="s">
        <v>2029</v>
      </c>
      <c r="C277" s="1" t="s">
        <v>51</v>
      </c>
      <c r="D277" s="1" t="s">
        <v>31</v>
      </c>
      <c r="E277" s="1" t="s">
        <v>31</v>
      </c>
      <c r="F277" s="1" t="s">
        <v>31</v>
      </c>
      <c r="G277" s="1" t="s">
        <v>369</v>
      </c>
      <c r="H277" s="1" t="s">
        <v>55</v>
      </c>
      <c r="I277" s="1" t="s">
        <v>56</v>
      </c>
      <c r="J277" s="1">
        <v>1201.0</v>
      </c>
      <c r="K277" s="1" t="s">
        <v>31</v>
      </c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1">
        <v>1.1000931E7</v>
      </c>
      <c r="B278" s="1" t="s">
        <v>2096</v>
      </c>
      <c r="C278" s="1" t="s">
        <v>51</v>
      </c>
      <c r="D278" s="1" t="s">
        <v>31</v>
      </c>
      <c r="E278" s="1" t="s">
        <v>31</v>
      </c>
      <c r="F278" s="1" t="s">
        <v>31</v>
      </c>
      <c r="G278" s="1" t="s">
        <v>369</v>
      </c>
      <c r="H278" s="1" t="s">
        <v>55</v>
      </c>
      <c r="I278" s="1" t="s">
        <v>56</v>
      </c>
      <c r="J278" s="1">
        <v>1201.0</v>
      </c>
      <c r="K278" s="1" t="s">
        <v>31</v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1">
        <v>1.1000933E7</v>
      </c>
      <c r="B279" s="1" t="s">
        <v>2101</v>
      </c>
      <c r="C279" s="1" t="s">
        <v>51</v>
      </c>
      <c r="D279" s="1" t="s">
        <v>31</v>
      </c>
      <c r="E279" s="1" t="s">
        <v>31</v>
      </c>
      <c r="F279" s="1" t="s">
        <v>31</v>
      </c>
      <c r="G279" s="1" t="s">
        <v>369</v>
      </c>
      <c r="H279" s="1" t="s">
        <v>55</v>
      </c>
      <c r="I279" s="1" t="s">
        <v>56</v>
      </c>
      <c r="J279" s="1">
        <v>1201.0</v>
      </c>
      <c r="K279" s="1" t="s">
        <v>31</v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1">
        <v>1.1000934E7</v>
      </c>
      <c r="B280" s="1" t="s">
        <v>2103</v>
      </c>
      <c r="C280" s="1" t="s">
        <v>51</v>
      </c>
      <c r="D280" s="1" t="s">
        <v>31</v>
      </c>
      <c r="E280" s="1" t="s">
        <v>31</v>
      </c>
      <c r="F280" s="1" t="s">
        <v>31</v>
      </c>
      <c r="G280" s="1" t="s">
        <v>369</v>
      </c>
      <c r="H280" s="1" t="s">
        <v>55</v>
      </c>
      <c r="I280" s="1" t="s">
        <v>56</v>
      </c>
      <c r="J280" s="1">
        <v>1201.0</v>
      </c>
      <c r="K280" s="1" t="s">
        <v>31</v>
      </c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1">
        <v>1.1000935E7</v>
      </c>
      <c r="B281" s="1" t="s">
        <v>2105</v>
      </c>
      <c r="C281" s="1" t="s">
        <v>51</v>
      </c>
      <c r="D281" s="1" t="s">
        <v>31</v>
      </c>
      <c r="E281" s="1" t="s">
        <v>2107</v>
      </c>
      <c r="F281" s="1" t="s">
        <v>2108</v>
      </c>
      <c r="G281" s="1" t="s">
        <v>369</v>
      </c>
      <c r="H281" s="1" t="s">
        <v>55</v>
      </c>
      <c r="I281" s="1" t="s">
        <v>56</v>
      </c>
      <c r="J281" s="1">
        <v>1201.0</v>
      </c>
      <c r="K281" s="1" t="s">
        <v>31</v>
      </c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1">
        <v>1.1000936E7</v>
      </c>
      <c r="B282" s="1" t="s">
        <v>1740</v>
      </c>
      <c r="C282" s="1" t="s">
        <v>51</v>
      </c>
      <c r="D282" s="1" t="s">
        <v>31</v>
      </c>
      <c r="E282" s="1" t="s">
        <v>2117</v>
      </c>
      <c r="F282" s="1" t="s">
        <v>2108</v>
      </c>
      <c r="G282" s="1" t="s">
        <v>369</v>
      </c>
      <c r="H282" s="1" t="s">
        <v>55</v>
      </c>
      <c r="I282" s="1" t="s">
        <v>56</v>
      </c>
      <c r="J282" s="1">
        <v>1201.0</v>
      </c>
      <c r="K282" s="1" t="s">
        <v>31</v>
      </c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1">
        <v>1.1000937E7</v>
      </c>
      <c r="B283" s="1" t="s">
        <v>1748</v>
      </c>
      <c r="C283" s="1" t="s">
        <v>51</v>
      </c>
      <c r="D283" s="1" t="s">
        <v>31</v>
      </c>
      <c r="E283" s="1" t="s">
        <v>31</v>
      </c>
      <c r="F283" s="1" t="s">
        <v>31</v>
      </c>
      <c r="G283" s="1" t="s">
        <v>369</v>
      </c>
      <c r="H283" s="1" t="s">
        <v>55</v>
      </c>
      <c r="I283" s="1" t="s">
        <v>56</v>
      </c>
      <c r="J283" s="1">
        <v>1201.0</v>
      </c>
      <c r="K283" s="1" t="s">
        <v>31</v>
      </c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1">
        <v>1.1000938E7</v>
      </c>
      <c r="B284" s="1" t="s">
        <v>2037</v>
      </c>
      <c r="C284" s="1" t="s">
        <v>51</v>
      </c>
      <c r="D284" s="1" t="s">
        <v>31</v>
      </c>
      <c r="E284" s="1" t="s">
        <v>31</v>
      </c>
      <c r="F284" s="1" t="s">
        <v>31</v>
      </c>
      <c r="G284" s="1" t="s">
        <v>369</v>
      </c>
      <c r="H284" s="1" t="s">
        <v>55</v>
      </c>
      <c r="I284" s="1" t="s">
        <v>56</v>
      </c>
      <c r="J284" s="1">
        <v>1201.0</v>
      </c>
      <c r="K284" s="1" t="s">
        <v>31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1">
        <v>1.1000939E7</v>
      </c>
      <c r="B285" s="1" t="s">
        <v>2042</v>
      </c>
      <c r="C285" s="1" t="s">
        <v>51</v>
      </c>
      <c r="D285" s="1" t="s">
        <v>31</v>
      </c>
      <c r="E285" s="1" t="s">
        <v>31</v>
      </c>
      <c r="F285" s="1" t="s">
        <v>31</v>
      </c>
      <c r="G285" s="1" t="s">
        <v>369</v>
      </c>
      <c r="H285" s="1" t="s">
        <v>55</v>
      </c>
      <c r="I285" s="1" t="s">
        <v>56</v>
      </c>
      <c r="J285" s="1">
        <v>1201.0</v>
      </c>
      <c r="K285" s="1" t="s">
        <v>31</v>
      </c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1">
        <v>1.100094E7</v>
      </c>
      <c r="B286" s="1" t="s">
        <v>1758</v>
      </c>
      <c r="C286" s="1" t="s">
        <v>51</v>
      </c>
      <c r="D286" s="1" t="s">
        <v>31</v>
      </c>
      <c r="E286" s="1" t="s">
        <v>31</v>
      </c>
      <c r="F286" s="1" t="s">
        <v>31</v>
      </c>
      <c r="G286" s="1" t="s">
        <v>369</v>
      </c>
      <c r="H286" s="1" t="s">
        <v>55</v>
      </c>
      <c r="I286" s="1" t="s">
        <v>56</v>
      </c>
      <c r="J286" s="1">
        <v>1201.0</v>
      </c>
      <c r="K286" s="1" t="s">
        <v>31</v>
      </c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1">
        <v>1.1000941E7</v>
      </c>
      <c r="B287" s="1" t="s">
        <v>2050</v>
      </c>
      <c r="C287" s="1" t="s">
        <v>51</v>
      </c>
      <c r="D287" s="1" t="s">
        <v>2083</v>
      </c>
      <c r="E287" s="1" t="s">
        <v>2133</v>
      </c>
      <c r="F287" s="1" t="s">
        <v>2134</v>
      </c>
      <c r="G287" s="1" t="s">
        <v>369</v>
      </c>
      <c r="H287" s="1" t="s">
        <v>55</v>
      </c>
      <c r="I287" s="1" t="s">
        <v>56</v>
      </c>
      <c r="J287" s="1">
        <v>1201.0</v>
      </c>
      <c r="K287" s="1" t="s">
        <v>31</v>
      </c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1">
        <v>1.1000942E7</v>
      </c>
      <c r="B288" s="1" t="s">
        <v>2138</v>
      </c>
      <c r="C288" s="1" t="s">
        <v>51</v>
      </c>
      <c r="D288" s="1" t="s">
        <v>2083</v>
      </c>
      <c r="E288" s="1" t="s">
        <v>2141</v>
      </c>
      <c r="F288" s="1" t="s">
        <v>2143</v>
      </c>
      <c r="G288" s="1" t="s">
        <v>369</v>
      </c>
      <c r="H288" s="1" t="s">
        <v>55</v>
      </c>
      <c r="I288" s="1" t="s">
        <v>56</v>
      </c>
      <c r="J288" s="1">
        <v>1201.0</v>
      </c>
      <c r="K288" s="1" t="s">
        <v>31</v>
      </c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1">
        <v>1.1000943E7</v>
      </c>
      <c r="B289" s="1" t="s">
        <v>2147</v>
      </c>
      <c r="C289" s="1" t="s">
        <v>51</v>
      </c>
      <c r="D289" s="1" t="s">
        <v>31</v>
      </c>
      <c r="E289" s="1" t="s">
        <v>2148</v>
      </c>
      <c r="F289" s="1" t="s">
        <v>2143</v>
      </c>
      <c r="G289" s="1" t="s">
        <v>369</v>
      </c>
      <c r="H289" s="1" t="s">
        <v>55</v>
      </c>
      <c r="I289" s="1" t="s">
        <v>56</v>
      </c>
      <c r="J289" s="1">
        <v>1201.0</v>
      </c>
      <c r="K289" s="1" t="s">
        <v>31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1">
        <v>1.1000944E7</v>
      </c>
      <c r="B290" s="1" t="s">
        <v>2153</v>
      </c>
      <c r="C290" s="1" t="s">
        <v>51</v>
      </c>
      <c r="D290" s="1" t="s">
        <v>31</v>
      </c>
      <c r="E290" s="1" t="s">
        <v>2154</v>
      </c>
      <c r="F290" s="1" t="s">
        <v>2155</v>
      </c>
      <c r="G290" s="1" t="s">
        <v>369</v>
      </c>
      <c r="H290" s="1" t="s">
        <v>55</v>
      </c>
      <c r="I290" s="1" t="s">
        <v>56</v>
      </c>
      <c r="J290" s="1">
        <v>1201.0</v>
      </c>
      <c r="K290" s="1" t="s">
        <v>31</v>
      </c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1">
        <v>1.1000945E7</v>
      </c>
      <c r="B291" s="1" t="s">
        <v>2162</v>
      </c>
      <c r="C291" s="1" t="s">
        <v>51</v>
      </c>
      <c r="D291" s="1" t="s">
        <v>31</v>
      </c>
      <c r="E291" s="1" t="s">
        <v>2164</v>
      </c>
      <c r="F291" s="1" t="s">
        <v>2155</v>
      </c>
      <c r="G291" s="1" t="s">
        <v>369</v>
      </c>
      <c r="H291" s="1" t="s">
        <v>55</v>
      </c>
      <c r="I291" s="1" t="s">
        <v>56</v>
      </c>
      <c r="J291" s="1">
        <v>1201.0</v>
      </c>
      <c r="K291" s="1" t="s">
        <v>31</v>
      </c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1">
        <v>1.1000946E7</v>
      </c>
      <c r="B292" s="1" t="s">
        <v>1768</v>
      </c>
      <c r="C292" s="1" t="s">
        <v>51</v>
      </c>
      <c r="D292" s="1" t="s">
        <v>31</v>
      </c>
      <c r="E292" s="1" t="s">
        <v>2168</v>
      </c>
      <c r="F292" s="1" t="s">
        <v>2155</v>
      </c>
      <c r="G292" s="1" t="s">
        <v>369</v>
      </c>
      <c r="H292" s="1" t="s">
        <v>55</v>
      </c>
      <c r="I292" s="1" t="s">
        <v>56</v>
      </c>
      <c r="J292" s="1">
        <v>1201.0</v>
      </c>
      <c r="K292" s="1" t="s">
        <v>31</v>
      </c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1">
        <v>1.1000947E7</v>
      </c>
      <c r="B293" s="1" t="s">
        <v>1771</v>
      </c>
      <c r="C293" s="1" t="s">
        <v>51</v>
      </c>
      <c r="D293" s="1" t="s">
        <v>31</v>
      </c>
      <c r="E293" s="1" t="s">
        <v>2175</v>
      </c>
      <c r="F293" s="1" t="s">
        <v>2177</v>
      </c>
      <c r="G293" s="1" t="s">
        <v>369</v>
      </c>
      <c r="H293" s="1" t="s">
        <v>55</v>
      </c>
      <c r="I293" s="1" t="s">
        <v>56</v>
      </c>
      <c r="J293" s="1">
        <v>1201.0</v>
      </c>
      <c r="K293" s="1" t="s">
        <v>31</v>
      </c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1">
        <v>1.1000948E7</v>
      </c>
      <c r="B294" s="1" t="s">
        <v>2060</v>
      </c>
      <c r="C294" s="1" t="s">
        <v>51</v>
      </c>
      <c r="D294" s="1" t="s">
        <v>31</v>
      </c>
      <c r="E294" s="1" t="s">
        <v>2182</v>
      </c>
      <c r="F294" s="1" t="s">
        <v>2155</v>
      </c>
      <c r="G294" s="1" t="s">
        <v>369</v>
      </c>
      <c r="H294" s="1" t="s">
        <v>55</v>
      </c>
      <c r="I294" s="1" t="s">
        <v>56</v>
      </c>
      <c r="J294" s="1">
        <v>1201.0</v>
      </c>
      <c r="K294" s="1" t="s">
        <v>31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1">
        <v>1.100095E7</v>
      </c>
      <c r="B295" s="1" t="s">
        <v>1781</v>
      </c>
      <c r="C295" s="1" t="s">
        <v>51</v>
      </c>
      <c r="D295" s="1" t="s">
        <v>31</v>
      </c>
      <c r="E295" s="1" t="s">
        <v>31</v>
      </c>
      <c r="F295" s="1" t="s">
        <v>31</v>
      </c>
      <c r="G295" s="1" t="s">
        <v>369</v>
      </c>
      <c r="H295" s="1" t="s">
        <v>55</v>
      </c>
      <c r="I295" s="1" t="s">
        <v>56</v>
      </c>
      <c r="J295" s="1">
        <v>1201.0</v>
      </c>
      <c r="K295" s="1" t="s">
        <v>31</v>
      </c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1">
        <v>1.1000961E7</v>
      </c>
      <c r="B296" s="1" t="s">
        <v>2194</v>
      </c>
      <c r="C296" s="1" t="s">
        <v>51</v>
      </c>
      <c r="D296" s="1" t="s">
        <v>31</v>
      </c>
      <c r="E296" s="1" t="s">
        <v>31</v>
      </c>
      <c r="F296" s="1" t="s">
        <v>31</v>
      </c>
      <c r="G296" s="1" t="s">
        <v>369</v>
      </c>
      <c r="H296" s="1" t="s">
        <v>55</v>
      </c>
      <c r="I296" s="1" t="s">
        <v>56</v>
      </c>
      <c r="J296" s="1">
        <v>1201.0</v>
      </c>
      <c r="K296" s="1" t="s">
        <v>31</v>
      </c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1">
        <v>1.1000962E7</v>
      </c>
      <c r="B297" s="1" t="s">
        <v>2200</v>
      </c>
      <c r="C297" s="1" t="s">
        <v>51</v>
      </c>
      <c r="D297" s="1" t="s">
        <v>31</v>
      </c>
      <c r="E297" s="1" t="s">
        <v>31</v>
      </c>
      <c r="F297" s="1" t="s">
        <v>31</v>
      </c>
      <c r="G297" s="1" t="s">
        <v>369</v>
      </c>
      <c r="H297" s="1" t="s">
        <v>55</v>
      </c>
      <c r="I297" s="1" t="s">
        <v>56</v>
      </c>
      <c r="J297" s="1">
        <v>1201.0</v>
      </c>
      <c r="K297" s="1" t="s">
        <v>31</v>
      </c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1">
        <v>1.1000963E7</v>
      </c>
      <c r="B298" s="1" t="s">
        <v>2203</v>
      </c>
      <c r="C298" s="1" t="s">
        <v>51</v>
      </c>
      <c r="D298" s="1" t="s">
        <v>31</v>
      </c>
      <c r="E298" s="1" t="s">
        <v>2207</v>
      </c>
      <c r="F298" s="1" t="s">
        <v>2143</v>
      </c>
      <c r="G298" s="1" t="s">
        <v>369</v>
      </c>
      <c r="H298" s="1" t="s">
        <v>55</v>
      </c>
      <c r="I298" s="1" t="s">
        <v>56</v>
      </c>
      <c r="J298" s="1">
        <v>1201.0</v>
      </c>
      <c r="K298" s="1" t="s">
        <v>31</v>
      </c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1">
        <v>1.1000964E7</v>
      </c>
      <c r="B299" s="1" t="s">
        <v>2210</v>
      </c>
      <c r="C299" s="1" t="s">
        <v>51</v>
      </c>
      <c r="D299" s="1" t="s">
        <v>2211</v>
      </c>
      <c r="E299" s="1" t="s">
        <v>2212</v>
      </c>
      <c r="F299" s="1" t="s">
        <v>2214</v>
      </c>
      <c r="G299" s="1" t="s">
        <v>369</v>
      </c>
      <c r="H299" s="1" t="s">
        <v>55</v>
      </c>
      <c r="I299" s="1" t="s">
        <v>56</v>
      </c>
      <c r="J299" s="1">
        <v>1201.0</v>
      </c>
      <c r="K299" s="1" t="s">
        <v>31</v>
      </c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1">
        <v>1.1000965E7</v>
      </c>
      <c r="B300" s="1" t="s">
        <v>2217</v>
      </c>
      <c r="C300" s="1" t="s">
        <v>51</v>
      </c>
      <c r="D300" s="1" t="s">
        <v>31</v>
      </c>
      <c r="E300" s="1" t="s">
        <v>31</v>
      </c>
      <c r="F300" s="1" t="s">
        <v>31</v>
      </c>
      <c r="G300" s="1" t="s">
        <v>369</v>
      </c>
      <c r="H300" s="1" t="s">
        <v>55</v>
      </c>
      <c r="I300" s="1" t="s">
        <v>56</v>
      </c>
      <c r="J300" s="1">
        <v>1201.0</v>
      </c>
      <c r="K300" s="1" t="s">
        <v>31</v>
      </c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1">
        <v>1.1000966E7</v>
      </c>
      <c r="B301" s="1" t="s">
        <v>2223</v>
      </c>
      <c r="C301" s="1" t="s">
        <v>51</v>
      </c>
      <c r="D301" s="1" t="s">
        <v>31</v>
      </c>
      <c r="E301" s="1" t="s">
        <v>2225</v>
      </c>
      <c r="F301" s="1" t="s">
        <v>2227</v>
      </c>
      <c r="G301" s="1" t="s">
        <v>369</v>
      </c>
      <c r="H301" s="1" t="s">
        <v>55</v>
      </c>
      <c r="I301" s="1" t="s">
        <v>56</v>
      </c>
      <c r="J301" s="1">
        <v>1201.0</v>
      </c>
      <c r="K301" s="1" t="s">
        <v>31</v>
      </c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1">
        <v>1.1000967E7</v>
      </c>
      <c r="B302" s="1" t="s">
        <v>2056</v>
      </c>
      <c r="C302" s="1" t="s">
        <v>51</v>
      </c>
      <c r="D302" s="1" t="s">
        <v>31</v>
      </c>
      <c r="E302" s="1" t="s">
        <v>2233</v>
      </c>
      <c r="F302" s="1" t="s">
        <v>31</v>
      </c>
      <c r="G302" s="1" t="s">
        <v>369</v>
      </c>
      <c r="H302" s="1" t="s">
        <v>55</v>
      </c>
      <c r="I302" s="1" t="s">
        <v>56</v>
      </c>
      <c r="J302" s="1">
        <v>1201.0</v>
      </c>
      <c r="K302" s="1" t="s">
        <v>31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1">
        <v>1.1000968E7</v>
      </c>
      <c r="B303" s="1" t="s">
        <v>2237</v>
      </c>
      <c r="C303" s="1" t="s">
        <v>51</v>
      </c>
      <c r="D303" s="1" t="s">
        <v>31</v>
      </c>
      <c r="E303" s="1" t="s">
        <v>2241</v>
      </c>
      <c r="F303" s="1" t="s">
        <v>2242</v>
      </c>
      <c r="G303" s="1" t="s">
        <v>369</v>
      </c>
      <c r="H303" s="1" t="s">
        <v>55</v>
      </c>
      <c r="I303" s="1" t="s">
        <v>56</v>
      </c>
      <c r="J303" s="1">
        <v>1201.0</v>
      </c>
      <c r="K303" s="1" t="s">
        <v>31</v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1">
        <v>1.1000969E7</v>
      </c>
      <c r="B304" s="1" t="s">
        <v>1795</v>
      </c>
      <c r="C304" s="1" t="s">
        <v>51</v>
      </c>
      <c r="D304" s="1" t="s">
        <v>31</v>
      </c>
      <c r="E304" s="1" t="s">
        <v>2250</v>
      </c>
      <c r="F304" s="1" t="s">
        <v>2242</v>
      </c>
      <c r="G304" s="1" t="s">
        <v>369</v>
      </c>
      <c r="H304" s="1" t="s">
        <v>55</v>
      </c>
      <c r="I304" s="1" t="s">
        <v>56</v>
      </c>
      <c r="J304" s="1">
        <v>1201.0</v>
      </c>
      <c r="K304" s="1" t="s">
        <v>31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1">
        <v>1.100097E7</v>
      </c>
      <c r="B305" s="1" t="s">
        <v>2252</v>
      </c>
      <c r="C305" s="1" t="s">
        <v>51</v>
      </c>
      <c r="D305" s="1" t="s">
        <v>31</v>
      </c>
      <c r="E305" s="1" t="s">
        <v>2253</v>
      </c>
      <c r="F305" s="1" t="s">
        <v>2242</v>
      </c>
      <c r="G305" s="1" t="s">
        <v>369</v>
      </c>
      <c r="H305" s="1" t="s">
        <v>55</v>
      </c>
      <c r="I305" s="1" t="s">
        <v>56</v>
      </c>
      <c r="J305" s="1">
        <v>1201.0</v>
      </c>
      <c r="K305" s="1" t="s">
        <v>31</v>
      </c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1">
        <v>1.1000971E7</v>
      </c>
      <c r="B306" s="1" t="s">
        <v>1795</v>
      </c>
      <c r="C306" s="1" t="s">
        <v>51</v>
      </c>
      <c r="D306" s="1" t="s">
        <v>31</v>
      </c>
      <c r="E306" s="1" t="s">
        <v>31</v>
      </c>
      <c r="F306" s="1" t="s">
        <v>31</v>
      </c>
      <c r="G306" s="1" t="s">
        <v>369</v>
      </c>
      <c r="H306" s="1" t="s">
        <v>55</v>
      </c>
      <c r="I306" s="1" t="s">
        <v>56</v>
      </c>
      <c r="J306" s="1">
        <v>1201.0</v>
      </c>
      <c r="K306" s="1" t="s">
        <v>31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1">
        <v>1.1000972E7</v>
      </c>
      <c r="B307" s="1" t="s">
        <v>2079</v>
      </c>
      <c r="C307" s="1" t="s">
        <v>51</v>
      </c>
      <c r="D307" s="1" t="s">
        <v>31</v>
      </c>
      <c r="E307" s="1" t="s">
        <v>31</v>
      </c>
      <c r="F307" s="1" t="s">
        <v>31</v>
      </c>
      <c r="G307" s="1" t="s">
        <v>369</v>
      </c>
      <c r="H307" s="1" t="s">
        <v>55</v>
      </c>
      <c r="I307" s="1" t="s">
        <v>56</v>
      </c>
      <c r="J307" s="1">
        <v>1201.0</v>
      </c>
      <c r="K307" s="1" t="s">
        <v>31</v>
      </c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1">
        <v>1.1000973E7</v>
      </c>
      <c r="B308" s="1" t="s">
        <v>2087</v>
      </c>
      <c r="C308" s="1" t="s">
        <v>51</v>
      </c>
      <c r="D308" s="1" t="s">
        <v>31</v>
      </c>
      <c r="E308" s="1" t="s">
        <v>31</v>
      </c>
      <c r="F308" s="1" t="s">
        <v>31</v>
      </c>
      <c r="G308" s="1" t="s">
        <v>369</v>
      </c>
      <c r="H308" s="1" t="s">
        <v>55</v>
      </c>
      <c r="I308" s="1" t="s">
        <v>56</v>
      </c>
      <c r="J308" s="1">
        <v>1201.0</v>
      </c>
      <c r="K308" s="1" t="s">
        <v>31</v>
      </c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1">
        <v>1.1000974E7</v>
      </c>
      <c r="B309" s="1" t="s">
        <v>2094</v>
      </c>
      <c r="C309" s="1" t="s">
        <v>51</v>
      </c>
      <c r="D309" s="1" t="s">
        <v>31</v>
      </c>
      <c r="E309" s="1" t="s">
        <v>31</v>
      </c>
      <c r="F309" s="1" t="s">
        <v>31</v>
      </c>
      <c r="G309" s="1" t="s">
        <v>369</v>
      </c>
      <c r="H309" s="1" t="s">
        <v>55</v>
      </c>
      <c r="I309" s="1" t="s">
        <v>56</v>
      </c>
      <c r="J309" s="1">
        <v>1201.0</v>
      </c>
      <c r="K309" s="1" t="s">
        <v>31</v>
      </c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1">
        <v>1.1000975E7</v>
      </c>
      <c r="B310" s="1" t="s">
        <v>2094</v>
      </c>
      <c r="C310" s="1" t="s">
        <v>51</v>
      </c>
      <c r="D310" s="1" t="s">
        <v>31</v>
      </c>
      <c r="E310" s="1" t="s">
        <v>31</v>
      </c>
      <c r="F310" s="1" t="s">
        <v>31</v>
      </c>
      <c r="G310" s="1" t="s">
        <v>369</v>
      </c>
      <c r="H310" s="1" t="s">
        <v>55</v>
      </c>
      <c r="I310" s="1" t="s">
        <v>56</v>
      </c>
      <c r="J310" s="1">
        <v>1201.0</v>
      </c>
      <c r="K310" s="1" t="s">
        <v>31</v>
      </c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1">
        <v>1.1000976E7</v>
      </c>
      <c r="B311" s="1" t="s">
        <v>2279</v>
      </c>
      <c r="C311" s="1" t="s">
        <v>51</v>
      </c>
      <c r="D311" s="1" t="s">
        <v>31</v>
      </c>
      <c r="E311" s="1" t="s">
        <v>31</v>
      </c>
      <c r="F311" s="1" t="s">
        <v>31</v>
      </c>
      <c r="G311" s="1" t="s">
        <v>369</v>
      </c>
      <c r="H311" s="1" t="s">
        <v>55</v>
      </c>
      <c r="I311" s="1" t="s">
        <v>56</v>
      </c>
      <c r="J311" s="1">
        <v>1201.0</v>
      </c>
      <c r="K311" s="1" t="s">
        <v>31</v>
      </c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1">
        <v>1.1000977E7</v>
      </c>
      <c r="B312" s="1" t="s">
        <v>2283</v>
      </c>
      <c r="C312" s="1" t="s">
        <v>51</v>
      </c>
      <c r="D312" s="1" t="s">
        <v>31</v>
      </c>
      <c r="E312" s="1" t="s">
        <v>31</v>
      </c>
      <c r="F312" s="1" t="s">
        <v>31</v>
      </c>
      <c r="G312" s="1" t="s">
        <v>369</v>
      </c>
      <c r="H312" s="1" t="s">
        <v>55</v>
      </c>
      <c r="I312" s="1" t="s">
        <v>56</v>
      </c>
      <c r="J312" s="1">
        <v>1201.0</v>
      </c>
      <c r="K312" s="1" t="s">
        <v>31</v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1">
        <v>1.1000985E7</v>
      </c>
      <c r="B313" s="1" t="s">
        <v>2288</v>
      </c>
      <c r="C313" s="1" t="s">
        <v>51</v>
      </c>
      <c r="D313" s="1" t="s">
        <v>31</v>
      </c>
      <c r="E313" s="1" t="s">
        <v>31</v>
      </c>
      <c r="F313" s="1" t="s">
        <v>31</v>
      </c>
      <c r="G313" s="1" t="s">
        <v>369</v>
      </c>
      <c r="H313" s="1" t="s">
        <v>55</v>
      </c>
      <c r="I313" s="1" t="s">
        <v>56</v>
      </c>
      <c r="J313" s="1">
        <v>1201.0</v>
      </c>
      <c r="K313" s="1" t="s">
        <v>31</v>
      </c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1">
        <v>1.1000986E7</v>
      </c>
      <c r="B314" s="1" t="s">
        <v>2296</v>
      </c>
      <c r="C314" s="1" t="s">
        <v>51</v>
      </c>
      <c r="D314" s="1" t="s">
        <v>31</v>
      </c>
      <c r="E314" s="1" t="s">
        <v>31</v>
      </c>
      <c r="F314" s="1" t="s">
        <v>31</v>
      </c>
      <c r="G314" s="1" t="s">
        <v>369</v>
      </c>
      <c r="H314" s="1" t="s">
        <v>55</v>
      </c>
      <c r="I314" s="1" t="s">
        <v>56</v>
      </c>
      <c r="J314" s="1">
        <v>1201.0</v>
      </c>
      <c r="K314" s="1" t="s">
        <v>31</v>
      </c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1">
        <v>1.100099E7</v>
      </c>
      <c r="B315" s="1" t="s">
        <v>2300</v>
      </c>
      <c r="C315" s="1" t="s">
        <v>51</v>
      </c>
      <c r="D315" s="1" t="s">
        <v>31</v>
      </c>
      <c r="E315" s="1" t="s">
        <v>31</v>
      </c>
      <c r="F315" s="1" t="s">
        <v>31</v>
      </c>
      <c r="G315" s="1" t="s">
        <v>369</v>
      </c>
      <c r="H315" s="1" t="s">
        <v>55</v>
      </c>
      <c r="I315" s="1" t="s">
        <v>56</v>
      </c>
      <c r="J315" s="1">
        <v>1201.0</v>
      </c>
      <c r="K315" s="1" t="s">
        <v>31</v>
      </c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1">
        <v>1.1000992E7</v>
      </c>
      <c r="B316" s="1" t="s">
        <v>2303</v>
      </c>
      <c r="C316" s="1" t="s">
        <v>51</v>
      </c>
      <c r="D316" s="1" t="s">
        <v>31</v>
      </c>
      <c r="E316" s="1" t="s">
        <v>31</v>
      </c>
      <c r="F316" s="1" t="s">
        <v>31</v>
      </c>
      <c r="G316" s="1" t="s">
        <v>369</v>
      </c>
      <c r="H316" s="1" t="s">
        <v>55</v>
      </c>
      <c r="I316" s="1" t="s">
        <v>56</v>
      </c>
      <c r="J316" s="1">
        <v>1201.0</v>
      </c>
      <c r="K316" s="1" t="s">
        <v>31</v>
      </c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1">
        <v>1.1001002E7</v>
      </c>
      <c r="B317" s="1" t="s">
        <v>2304</v>
      </c>
      <c r="C317" s="1" t="s">
        <v>51</v>
      </c>
      <c r="D317" s="1" t="s">
        <v>2305</v>
      </c>
      <c r="E317" s="1" t="s">
        <v>2306</v>
      </c>
      <c r="F317" s="1" t="s">
        <v>2307</v>
      </c>
      <c r="G317" s="1" t="s">
        <v>369</v>
      </c>
      <c r="H317" s="1" t="s">
        <v>55</v>
      </c>
      <c r="I317" s="1" t="s">
        <v>56</v>
      </c>
      <c r="J317" s="1">
        <v>1201.0</v>
      </c>
      <c r="K317" s="1" t="s">
        <v>31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1">
        <v>1.1001004E7</v>
      </c>
      <c r="B318" s="1" t="s">
        <v>2312</v>
      </c>
      <c r="C318" s="1" t="s">
        <v>51</v>
      </c>
      <c r="D318" s="1" t="s">
        <v>31</v>
      </c>
      <c r="E318" s="1" t="s">
        <v>31</v>
      </c>
      <c r="F318" s="1" t="s">
        <v>31</v>
      </c>
      <c r="G318" s="1" t="s">
        <v>369</v>
      </c>
      <c r="H318" s="1" t="s">
        <v>55</v>
      </c>
      <c r="I318" s="1" t="s">
        <v>56</v>
      </c>
      <c r="J318" s="1">
        <v>1202.0</v>
      </c>
      <c r="K318" s="1" t="s">
        <v>31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1">
        <v>1.1001005E7</v>
      </c>
      <c r="B319" s="1" t="s">
        <v>2318</v>
      </c>
      <c r="C319" s="1" t="s">
        <v>51</v>
      </c>
      <c r="D319" s="1" t="s">
        <v>31</v>
      </c>
      <c r="E319" s="1" t="s">
        <v>31</v>
      </c>
      <c r="F319" s="1" t="s">
        <v>31</v>
      </c>
      <c r="G319" s="1" t="s">
        <v>369</v>
      </c>
      <c r="H319" s="1" t="s">
        <v>55</v>
      </c>
      <c r="I319" s="1" t="s">
        <v>56</v>
      </c>
      <c r="J319" s="1">
        <v>1202.0</v>
      </c>
      <c r="K319" s="1" t="s">
        <v>31</v>
      </c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1">
        <v>1.1001006E7</v>
      </c>
      <c r="B320" s="1" t="s">
        <v>2321</v>
      </c>
      <c r="C320" s="1" t="s">
        <v>51</v>
      </c>
      <c r="D320" s="1" t="s">
        <v>31</v>
      </c>
      <c r="E320" s="1" t="s">
        <v>31</v>
      </c>
      <c r="F320" s="1" t="s">
        <v>31</v>
      </c>
      <c r="G320" s="1" t="s">
        <v>369</v>
      </c>
      <c r="H320" s="1" t="s">
        <v>55</v>
      </c>
      <c r="I320" s="1" t="s">
        <v>56</v>
      </c>
      <c r="J320" s="1">
        <v>1202.0</v>
      </c>
      <c r="K320" s="1" t="s">
        <v>31</v>
      </c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1">
        <v>1.1001007E7</v>
      </c>
      <c r="B321" s="1" t="s">
        <v>2327</v>
      </c>
      <c r="C321" s="1" t="s">
        <v>51</v>
      </c>
      <c r="D321" s="1" t="s">
        <v>31</v>
      </c>
      <c r="E321" s="1" t="s">
        <v>31</v>
      </c>
      <c r="F321" s="1" t="s">
        <v>31</v>
      </c>
      <c r="G321" s="1" t="s">
        <v>369</v>
      </c>
      <c r="H321" s="1" t="s">
        <v>55</v>
      </c>
      <c r="I321" s="1" t="s">
        <v>56</v>
      </c>
      <c r="J321" s="1">
        <v>1202.0</v>
      </c>
      <c r="K321" s="1" t="s">
        <v>31</v>
      </c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1">
        <v>1.1001008E7</v>
      </c>
      <c r="B322" s="1" t="s">
        <v>2332</v>
      </c>
      <c r="C322" s="1" t="s">
        <v>51</v>
      </c>
      <c r="D322" s="1" t="s">
        <v>31</v>
      </c>
      <c r="E322" s="1" t="s">
        <v>31</v>
      </c>
      <c r="F322" s="1" t="s">
        <v>31</v>
      </c>
      <c r="G322" s="1" t="s">
        <v>369</v>
      </c>
      <c r="H322" s="1" t="s">
        <v>55</v>
      </c>
      <c r="I322" s="1" t="s">
        <v>56</v>
      </c>
      <c r="J322" s="1">
        <v>1202.0</v>
      </c>
      <c r="K322" s="1" t="s">
        <v>31</v>
      </c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1">
        <v>1.1001009E7</v>
      </c>
      <c r="B323" s="1" t="s">
        <v>2337</v>
      </c>
      <c r="C323" s="1" t="s">
        <v>51</v>
      </c>
      <c r="D323" s="1" t="s">
        <v>31</v>
      </c>
      <c r="E323" s="1" t="s">
        <v>31</v>
      </c>
      <c r="F323" s="1" t="s">
        <v>31</v>
      </c>
      <c r="G323" s="1" t="s">
        <v>369</v>
      </c>
      <c r="H323" s="1" t="s">
        <v>55</v>
      </c>
      <c r="I323" s="1" t="s">
        <v>56</v>
      </c>
      <c r="J323" s="1">
        <v>1202.0</v>
      </c>
      <c r="K323" s="1" t="s">
        <v>31</v>
      </c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1">
        <v>1.100101E7</v>
      </c>
      <c r="B324" s="1" t="s">
        <v>2337</v>
      </c>
      <c r="C324" s="1" t="s">
        <v>51</v>
      </c>
      <c r="D324" s="1" t="s">
        <v>31</v>
      </c>
      <c r="E324" s="1" t="s">
        <v>31</v>
      </c>
      <c r="F324" s="1" t="s">
        <v>31</v>
      </c>
      <c r="G324" s="1" t="s">
        <v>369</v>
      </c>
      <c r="H324" s="1" t="s">
        <v>55</v>
      </c>
      <c r="I324" s="1" t="s">
        <v>56</v>
      </c>
      <c r="J324" s="1">
        <v>1202.0</v>
      </c>
      <c r="K324" s="1" t="s">
        <v>31</v>
      </c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1">
        <v>1.1001014E7</v>
      </c>
      <c r="B325" s="1" t="s">
        <v>2346</v>
      </c>
      <c r="C325" s="1" t="s">
        <v>51</v>
      </c>
      <c r="D325" s="1" t="s">
        <v>31</v>
      </c>
      <c r="E325" s="1" t="s">
        <v>31</v>
      </c>
      <c r="F325" s="1" t="s">
        <v>31</v>
      </c>
      <c r="G325" s="1" t="s">
        <v>369</v>
      </c>
      <c r="H325" s="1" t="s">
        <v>55</v>
      </c>
      <c r="I325" s="1" t="s">
        <v>56</v>
      </c>
      <c r="J325" s="1">
        <v>1202.0</v>
      </c>
      <c r="K325" s="1" t="s">
        <v>31</v>
      </c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1">
        <v>1.1001015E7</v>
      </c>
      <c r="B326" s="1" t="s">
        <v>2348</v>
      </c>
      <c r="C326" s="1" t="s">
        <v>51</v>
      </c>
      <c r="D326" s="1" t="s">
        <v>31</v>
      </c>
      <c r="E326" s="1" t="s">
        <v>31</v>
      </c>
      <c r="F326" s="1" t="s">
        <v>31</v>
      </c>
      <c r="G326" s="1" t="s">
        <v>369</v>
      </c>
      <c r="H326" s="1" t="s">
        <v>55</v>
      </c>
      <c r="I326" s="1" t="s">
        <v>56</v>
      </c>
      <c r="J326" s="1">
        <v>1202.0</v>
      </c>
      <c r="K326" s="1" t="s">
        <v>31</v>
      </c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1">
        <v>1.1001016E7</v>
      </c>
      <c r="B327" s="1" t="s">
        <v>2352</v>
      </c>
      <c r="C327" s="1" t="s">
        <v>51</v>
      </c>
      <c r="D327" s="1" t="s">
        <v>31</v>
      </c>
      <c r="E327" s="1" t="s">
        <v>31</v>
      </c>
      <c r="F327" s="1" t="s">
        <v>31</v>
      </c>
      <c r="G327" s="1" t="s">
        <v>369</v>
      </c>
      <c r="H327" s="1" t="s">
        <v>55</v>
      </c>
      <c r="I327" s="1" t="s">
        <v>56</v>
      </c>
      <c r="J327" s="1">
        <v>1202.0</v>
      </c>
      <c r="K327" s="1" t="s">
        <v>31</v>
      </c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1">
        <v>1.1001021E7</v>
      </c>
      <c r="B328" s="1" t="s">
        <v>2357</v>
      </c>
      <c r="C328" s="1" t="s">
        <v>51</v>
      </c>
      <c r="D328" s="1" t="s">
        <v>31</v>
      </c>
      <c r="E328" s="1" t="s">
        <v>31</v>
      </c>
      <c r="F328" s="1" t="s">
        <v>31</v>
      </c>
      <c r="G328" s="1" t="s">
        <v>369</v>
      </c>
      <c r="H328" s="1" t="s">
        <v>55</v>
      </c>
      <c r="I328" s="1" t="s">
        <v>56</v>
      </c>
      <c r="J328" s="1">
        <v>1202.0</v>
      </c>
      <c r="K328" s="1" t="s">
        <v>31</v>
      </c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1">
        <v>1.1001022E7</v>
      </c>
      <c r="B329" s="1" t="s">
        <v>2357</v>
      </c>
      <c r="C329" s="1" t="s">
        <v>51</v>
      </c>
      <c r="D329" s="1" t="s">
        <v>31</v>
      </c>
      <c r="E329" s="1" t="s">
        <v>31</v>
      </c>
      <c r="F329" s="1" t="s">
        <v>31</v>
      </c>
      <c r="G329" s="1" t="s">
        <v>369</v>
      </c>
      <c r="H329" s="1" t="s">
        <v>55</v>
      </c>
      <c r="I329" s="1" t="s">
        <v>56</v>
      </c>
      <c r="J329" s="1">
        <v>1202.0</v>
      </c>
      <c r="K329" s="1" t="s">
        <v>31</v>
      </c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1">
        <v>1.1001023E7</v>
      </c>
      <c r="B330" s="1" t="s">
        <v>2362</v>
      </c>
      <c r="C330" s="1" t="s">
        <v>51</v>
      </c>
      <c r="D330" s="1" t="s">
        <v>31</v>
      </c>
      <c r="E330" s="1" t="s">
        <v>31</v>
      </c>
      <c r="F330" s="1" t="s">
        <v>31</v>
      </c>
      <c r="G330" s="1" t="s">
        <v>369</v>
      </c>
      <c r="H330" s="1" t="s">
        <v>55</v>
      </c>
      <c r="I330" s="1" t="s">
        <v>56</v>
      </c>
      <c r="J330" s="1">
        <v>1202.0</v>
      </c>
      <c r="K330" s="1" t="s">
        <v>31</v>
      </c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1">
        <v>1.1001024E7</v>
      </c>
      <c r="B331" s="1" t="s">
        <v>2362</v>
      </c>
      <c r="C331" s="1" t="s">
        <v>51</v>
      </c>
      <c r="D331" s="1" t="s">
        <v>31</v>
      </c>
      <c r="E331" s="1" t="s">
        <v>31</v>
      </c>
      <c r="F331" s="1" t="s">
        <v>31</v>
      </c>
      <c r="G331" s="1" t="s">
        <v>369</v>
      </c>
      <c r="H331" s="1" t="s">
        <v>55</v>
      </c>
      <c r="I331" s="1" t="s">
        <v>56</v>
      </c>
      <c r="J331" s="1">
        <v>1202.0</v>
      </c>
      <c r="K331" s="1" t="s">
        <v>31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1">
        <v>1.1001025E7</v>
      </c>
      <c r="B332" s="1" t="s">
        <v>2362</v>
      </c>
      <c r="C332" s="1" t="s">
        <v>51</v>
      </c>
      <c r="D332" s="1" t="s">
        <v>31</v>
      </c>
      <c r="E332" s="1" t="s">
        <v>31</v>
      </c>
      <c r="F332" s="1" t="s">
        <v>31</v>
      </c>
      <c r="G332" s="1" t="s">
        <v>369</v>
      </c>
      <c r="H332" s="1" t="s">
        <v>55</v>
      </c>
      <c r="I332" s="1" t="s">
        <v>56</v>
      </c>
      <c r="J332" s="1">
        <v>1202.0</v>
      </c>
      <c r="K332" s="1" t="s">
        <v>31</v>
      </c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1">
        <v>1.1001026E7</v>
      </c>
      <c r="B333" s="1" t="s">
        <v>2376</v>
      </c>
      <c r="C333" s="1" t="s">
        <v>51</v>
      </c>
      <c r="D333" s="1" t="s">
        <v>31</v>
      </c>
      <c r="E333" s="1" t="s">
        <v>31</v>
      </c>
      <c r="F333" s="1" t="s">
        <v>31</v>
      </c>
      <c r="G333" s="1" t="s">
        <v>369</v>
      </c>
      <c r="H333" s="1" t="s">
        <v>55</v>
      </c>
      <c r="I333" s="1" t="s">
        <v>56</v>
      </c>
      <c r="J333" s="1">
        <v>1202.0</v>
      </c>
      <c r="K333" s="1" t="s">
        <v>31</v>
      </c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1">
        <v>1.1001027E7</v>
      </c>
      <c r="B334" s="1" t="s">
        <v>2384</v>
      </c>
      <c r="C334" s="1" t="s">
        <v>51</v>
      </c>
      <c r="D334" s="1" t="s">
        <v>31</v>
      </c>
      <c r="E334" s="1" t="s">
        <v>31</v>
      </c>
      <c r="F334" s="1" t="s">
        <v>31</v>
      </c>
      <c r="G334" s="1" t="s">
        <v>369</v>
      </c>
      <c r="H334" s="1" t="s">
        <v>55</v>
      </c>
      <c r="I334" s="1" t="s">
        <v>56</v>
      </c>
      <c r="J334" s="1">
        <v>1202.0</v>
      </c>
      <c r="K334" s="1" t="s">
        <v>31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1">
        <v>1.1001067E7</v>
      </c>
      <c r="B335" s="1" t="s">
        <v>2387</v>
      </c>
      <c r="C335" s="1" t="s">
        <v>51</v>
      </c>
      <c r="D335" s="1" t="s">
        <v>31</v>
      </c>
      <c r="E335" s="1" t="s">
        <v>31</v>
      </c>
      <c r="F335" s="1" t="s">
        <v>31</v>
      </c>
      <c r="G335" s="1" t="s">
        <v>369</v>
      </c>
      <c r="H335" s="1" t="s">
        <v>55</v>
      </c>
      <c r="I335" s="1" t="s">
        <v>56</v>
      </c>
      <c r="J335" s="1">
        <v>1202.0</v>
      </c>
      <c r="K335" s="1" t="s">
        <v>31</v>
      </c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1">
        <v>1.1001068E7</v>
      </c>
      <c r="B336" s="1" t="s">
        <v>2388</v>
      </c>
      <c r="C336" s="1" t="s">
        <v>51</v>
      </c>
      <c r="D336" s="1" t="s">
        <v>31</v>
      </c>
      <c r="E336" s="1" t="s">
        <v>31</v>
      </c>
      <c r="F336" s="1" t="s">
        <v>31</v>
      </c>
      <c r="G336" s="1" t="s">
        <v>369</v>
      </c>
      <c r="H336" s="1" t="s">
        <v>55</v>
      </c>
      <c r="I336" s="1" t="s">
        <v>56</v>
      </c>
      <c r="J336" s="1">
        <v>1202.0</v>
      </c>
      <c r="K336" s="1" t="s">
        <v>31</v>
      </c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1">
        <v>1.1001069E7</v>
      </c>
      <c r="B337" s="1" t="s">
        <v>2396</v>
      </c>
      <c r="C337" s="1" t="s">
        <v>51</v>
      </c>
      <c r="D337" s="1" t="s">
        <v>31</v>
      </c>
      <c r="E337" s="1" t="s">
        <v>31</v>
      </c>
      <c r="F337" s="1" t="s">
        <v>31</v>
      </c>
      <c r="G337" s="1" t="s">
        <v>369</v>
      </c>
      <c r="H337" s="1" t="s">
        <v>55</v>
      </c>
      <c r="I337" s="1" t="s">
        <v>56</v>
      </c>
      <c r="J337" s="1">
        <v>1202.0</v>
      </c>
      <c r="K337" s="1" t="s">
        <v>31</v>
      </c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1">
        <v>1.100107E7</v>
      </c>
      <c r="B338" s="1" t="s">
        <v>2401</v>
      </c>
      <c r="C338" s="1" t="s">
        <v>51</v>
      </c>
      <c r="D338" s="1" t="s">
        <v>31</v>
      </c>
      <c r="E338" s="1" t="s">
        <v>31</v>
      </c>
      <c r="F338" s="1" t="s">
        <v>31</v>
      </c>
      <c r="G338" s="1" t="s">
        <v>369</v>
      </c>
      <c r="H338" s="1" t="s">
        <v>55</v>
      </c>
      <c r="I338" s="1" t="s">
        <v>56</v>
      </c>
      <c r="J338" s="1">
        <v>1202.0</v>
      </c>
      <c r="K338" s="1" t="s">
        <v>31</v>
      </c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1">
        <v>1.1001071E7</v>
      </c>
      <c r="B339" s="1" t="s">
        <v>2404</v>
      </c>
      <c r="C339" s="1" t="s">
        <v>51</v>
      </c>
      <c r="D339" s="1" t="s">
        <v>31</v>
      </c>
      <c r="E339" s="1" t="s">
        <v>31</v>
      </c>
      <c r="F339" s="1" t="s">
        <v>31</v>
      </c>
      <c r="G339" s="1" t="s">
        <v>369</v>
      </c>
      <c r="H339" s="1" t="s">
        <v>55</v>
      </c>
      <c r="I339" s="1" t="s">
        <v>56</v>
      </c>
      <c r="J339" s="1">
        <v>1202.0</v>
      </c>
      <c r="K339" s="1" t="s">
        <v>31</v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1">
        <v>1.1001072E7</v>
      </c>
      <c r="B340" s="1" t="s">
        <v>2413</v>
      </c>
      <c r="C340" s="1" t="s">
        <v>51</v>
      </c>
      <c r="D340" s="1" t="s">
        <v>31</v>
      </c>
      <c r="E340" s="1" t="s">
        <v>31</v>
      </c>
      <c r="F340" s="1" t="s">
        <v>31</v>
      </c>
      <c r="G340" s="1" t="s">
        <v>369</v>
      </c>
      <c r="H340" s="1" t="s">
        <v>55</v>
      </c>
      <c r="I340" s="1" t="s">
        <v>56</v>
      </c>
      <c r="J340" s="1">
        <v>1202.0</v>
      </c>
      <c r="K340" s="1" t="s">
        <v>31</v>
      </c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1">
        <v>1.100121E7</v>
      </c>
      <c r="B341" s="1" t="s">
        <v>2415</v>
      </c>
      <c r="C341" s="1" t="s">
        <v>51</v>
      </c>
      <c r="D341" s="1" t="s">
        <v>31</v>
      </c>
      <c r="E341" s="1" t="s">
        <v>31</v>
      </c>
      <c r="F341" s="1" t="s">
        <v>31</v>
      </c>
      <c r="G341" s="1" t="s">
        <v>369</v>
      </c>
      <c r="H341" s="1" t="s">
        <v>55</v>
      </c>
      <c r="I341" s="1" t="s">
        <v>56</v>
      </c>
      <c r="J341" s="1">
        <v>1201.0</v>
      </c>
      <c r="K341" s="1" t="s">
        <v>31</v>
      </c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1">
        <v>1.1001217E7</v>
      </c>
      <c r="B342" s="1" t="s">
        <v>2416</v>
      </c>
      <c r="C342" s="1" t="s">
        <v>51</v>
      </c>
      <c r="D342" s="1" t="s">
        <v>2418</v>
      </c>
      <c r="E342" s="1" t="s">
        <v>2420</v>
      </c>
      <c r="F342" s="1" t="s">
        <v>2422</v>
      </c>
      <c r="G342" s="1" t="s">
        <v>31</v>
      </c>
      <c r="H342" s="1" t="s">
        <v>55</v>
      </c>
      <c r="I342" s="1" t="s">
        <v>56</v>
      </c>
      <c r="J342" s="1">
        <v>1202.0</v>
      </c>
      <c r="K342" s="1" t="s">
        <v>31</v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1">
        <v>1.1001218E7</v>
      </c>
      <c r="B343" s="1" t="s">
        <v>2428</v>
      </c>
      <c r="C343" s="1" t="s">
        <v>51</v>
      </c>
      <c r="D343" s="1" t="s">
        <v>2418</v>
      </c>
      <c r="E343" s="1" t="s">
        <v>2431</v>
      </c>
      <c r="F343" s="1" t="s">
        <v>2432</v>
      </c>
      <c r="G343" s="1" t="s">
        <v>31</v>
      </c>
      <c r="H343" s="1" t="s">
        <v>55</v>
      </c>
      <c r="I343" s="1" t="s">
        <v>56</v>
      </c>
      <c r="J343" s="1">
        <v>1202.0</v>
      </c>
      <c r="K343" s="1" t="s">
        <v>31</v>
      </c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1">
        <v>1.1001219E7</v>
      </c>
      <c r="B344" s="1" t="s">
        <v>2434</v>
      </c>
      <c r="C344" s="1" t="s">
        <v>51</v>
      </c>
      <c r="D344" s="1" t="s">
        <v>2418</v>
      </c>
      <c r="E344" s="1" t="s">
        <v>2436</v>
      </c>
      <c r="F344" s="1" t="s">
        <v>2432</v>
      </c>
      <c r="G344" s="1" t="s">
        <v>31</v>
      </c>
      <c r="H344" s="1" t="s">
        <v>55</v>
      </c>
      <c r="I344" s="1" t="s">
        <v>56</v>
      </c>
      <c r="J344" s="1">
        <v>1202.0</v>
      </c>
      <c r="K344" s="1" t="s">
        <v>31</v>
      </c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1">
        <v>1.100122E7</v>
      </c>
      <c r="B345" s="1" t="s">
        <v>2438</v>
      </c>
      <c r="C345" s="1" t="s">
        <v>51</v>
      </c>
      <c r="D345" s="1" t="s">
        <v>2441</v>
      </c>
      <c r="E345" s="1" t="s">
        <v>2443</v>
      </c>
      <c r="F345" s="1" t="s">
        <v>2445</v>
      </c>
      <c r="G345" s="1" t="s">
        <v>31</v>
      </c>
      <c r="H345" s="1" t="s">
        <v>55</v>
      </c>
      <c r="I345" s="1" t="s">
        <v>56</v>
      </c>
      <c r="J345" s="1">
        <v>1202.0</v>
      </c>
      <c r="K345" s="1" t="s">
        <v>31</v>
      </c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1">
        <v>1.1001221E7</v>
      </c>
      <c r="B346" s="1" t="s">
        <v>2451</v>
      </c>
      <c r="C346" s="1" t="s">
        <v>51</v>
      </c>
      <c r="D346" s="1" t="s">
        <v>2452</v>
      </c>
      <c r="E346" s="1" t="s">
        <v>2453</v>
      </c>
      <c r="F346" s="1" t="s">
        <v>2453</v>
      </c>
      <c r="G346" s="1" t="s">
        <v>31</v>
      </c>
      <c r="H346" s="1" t="s">
        <v>55</v>
      </c>
      <c r="I346" s="1" t="s">
        <v>56</v>
      </c>
      <c r="J346" s="1">
        <v>1202.0</v>
      </c>
      <c r="K346" s="1" t="s">
        <v>31</v>
      </c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1">
        <v>1.1001222E7</v>
      </c>
      <c r="B347" s="1" t="s">
        <v>2457</v>
      </c>
      <c r="C347" s="1" t="s">
        <v>51</v>
      </c>
      <c r="D347" s="1" t="s">
        <v>2452</v>
      </c>
      <c r="E347" s="1" t="s">
        <v>2458</v>
      </c>
      <c r="F347" s="1" t="s">
        <v>2458</v>
      </c>
      <c r="G347" s="1" t="s">
        <v>31</v>
      </c>
      <c r="H347" s="1" t="s">
        <v>55</v>
      </c>
      <c r="I347" s="1" t="s">
        <v>56</v>
      </c>
      <c r="J347" s="1">
        <v>1202.0</v>
      </c>
      <c r="K347" s="1" t="s">
        <v>31</v>
      </c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1">
        <v>1.1001223E7</v>
      </c>
      <c r="B348" s="1" t="s">
        <v>2462</v>
      </c>
      <c r="C348" s="1" t="s">
        <v>51</v>
      </c>
      <c r="D348" s="1" t="s">
        <v>2464</v>
      </c>
      <c r="E348" s="1" t="s">
        <v>2465</v>
      </c>
      <c r="F348" s="1" t="s">
        <v>2465</v>
      </c>
      <c r="G348" s="1" t="s">
        <v>31</v>
      </c>
      <c r="H348" s="1" t="s">
        <v>55</v>
      </c>
      <c r="I348" s="1" t="s">
        <v>56</v>
      </c>
      <c r="J348" s="1">
        <v>1202.0</v>
      </c>
      <c r="K348" s="1" t="s">
        <v>31</v>
      </c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1">
        <v>1.1001224E7</v>
      </c>
      <c r="B349" s="1" t="s">
        <v>2471</v>
      </c>
      <c r="C349" s="1" t="s">
        <v>51</v>
      </c>
      <c r="D349" s="1" t="s">
        <v>2464</v>
      </c>
      <c r="E349" s="1" t="s">
        <v>2473</v>
      </c>
      <c r="F349" s="1" t="s">
        <v>2473</v>
      </c>
      <c r="G349" s="1" t="s">
        <v>31</v>
      </c>
      <c r="H349" s="1" t="s">
        <v>55</v>
      </c>
      <c r="I349" s="1" t="s">
        <v>56</v>
      </c>
      <c r="J349" s="1">
        <v>1202.0</v>
      </c>
      <c r="K349" s="1" t="s">
        <v>31</v>
      </c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1">
        <v>1.1001225E7</v>
      </c>
      <c r="B350" s="1" t="s">
        <v>2476</v>
      </c>
      <c r="C350" s="1" t="s">
        <v>51</v>
      </c>
      <c r="D350" s="1" t="s">
        <v>2477</v>
      </c>
      <c r="E350" s="1" t="s">
        <v>2478</v>
      </c>
      <c r="F350" s="1" t="s">
        <v>2479</v>
      </c>
      <c r="G350" s="1" t="s">
        <v>31</v>
      </c>
      <c r="H350" s="1" t="s">
        <v>55</v>
      </c>
      <c r="I350" s="1" t="s">
        <v>56</v>
      </c>
      <c r="J350" s="1">
        <v>1202.0</v>
      </c>
      <c r="K350" s="1" t="s">
        <v>31</v>
      </c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1">
        <v>1.1001226E7</v>
      </c>
      <c r="B351" s="1" t="s">
        <v>2483</v>
      </c>
      <c r="C351" s="1" t="s">
        <v>51</v>
      </c>
      <c r="D351" s="1" t="s">
        <v>2477</v>
      </c>
      <c r="E351" s="1" t="s">
        <v>2486</v>
      </c>
      <c r="F351" s="1" t="s">
        <v>2479</v>
      </c>
      <c r="G351" s="1" t="s">
        <v>31</v>
      </c>
      <c r="H351" s="1" t="s">
        <v>55</v>
      </c>
      <c r="I351" s="1" t="s">
        <v>56</v>
      </c>
      <c r="J351" s="1">
        <v>1202.0</v>
      </c>
      <c r="K351" s="1" t="s">
        <v>31</v>
      </c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1">
        <v>1.1001233E7</v>
      </c>
      <c r="B352" s="1" t="s">
        <v>2490</v>
      </c>
      <c r="C352" s="1" t="s">
        <v>51</v>
      </c>
      <c r="D352" s="1" t="s">
        <v>1700</v>
      </c>
      <c r="E352" s="1" t="s">
        <v>2492</v>
      </c>
      <c r="F352" s="1" t="s">
        <v>1703</v>
      </c>
      <c r="G352" s="1" t="s">
        <v>369</v>
      </c>
      <c r="H352" s="1" t="s">
        <v>412</v>
      </c>
      <c r="I352" s="1" t="s">
        <v>56</v>
      </c>
      <c r="J352" s="1">
        <v>2001.0</v>
      </c>
      <c r="K352" s="1" t="s">
        <v>31</v>
      </c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1">
        <v>1.1001234E7</v>
      </c>
      <c r="B353" s="1" t="s">
        <v>2494</v>
      </c>
      <c r="C353" s="1" t="s">
        <v>51</v>
      </c>
      <c r="D353" s="1" t="s">
        <v>2496</v>
      </c>
      <c r="E353" s="1" t="s">
        <v>2497</v>
      </c>
      <c r="F353" s="1" t="s">
        <v>2498</v>
      </c>
      <c r="G353" s="1" t="s">
        <v>2024</v>
      </c>
      <c r="H353" s="1" t="s">
        <v>412</v>
      </c>
      <c r="I353" s="1" t="s">
        <v>56</v>
      </c>
      <c r="J353" s="1">
        <v>1002.0</v>
      </c>
      <c r="K353" s="1" t="s">
        <v>31</v>
      </c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1">
        <v>1.1001235E7</v>
      </c>
      <c r="B354" s="1" t="s">
        <v>2506</v>
      </c>
      <c r="C354" s="1" t="s">
        <v>51</v>
      </c>
      <c r="D354" s="1" t="s">
        <v>2496</v>
      </c>
      <c r="E354" s="1" t="s">
        <v>2507</v>
      </c>
      <c r="F354" s="1" t="s">
        <v>2498</v>
      </c>
      <c r="G354" s="1" t="s">
        <v>2024</v>
      </c>
      <c r="H354" s="1" t="s">
        <v>412</v>
      </c>
      <c r="I354" s="1" t="s">
        <v>56</v>
      </c>
      <c r="J354" s="1">
        <v>1002.0</v>
      </c>
      <c r="K354" s="1" t="s">
        <v>31</v>
      </c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1">
        <v>1.1001236E7</v>
      </c>
      <c r="B355" s="1" t="s">
        <v>2106</v>
      </c>
      <c r="C355" s="1" t="s">
        <v>51</v>
      </c>
      <c r="D355" s="1" t="s">
        <v>2511</v>
      </c>
      <c r="E355" s="1" t="s">
        <v>2512</v>
      </c>
      <c r="F355" s="1" t="s">
        <v>2513</v>
      </c>
      <c r="G355" s="1" t="s">
        <v>369</v>
      </c>
      <c r="H355" s="1" t="s">
        <v>412</v>
      </c>
      <c r="I355" s="1" t="s">
        <v>56</v>
      </c>
      <c r="J355" s="1">
        <v>2001.0</v>
      </c>
      <c r="K355" s="1" t="s">
        <v>31</v>
      </c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1">
        <v>1.100124E7</v>
      </c>
      <c r="B356" s="1" t="s">
        <v>2515</v>
      </c>
      <c r="C356" s="1" t="s">
        <v>51</v>
      </c>
      <c r="D356" s="1" t="s">
        <v>31</v>
      </c>
      <c r="E356" s="1" t="s">
        <v>2518</v>
      </c>
      <c r="F356" s="1" t="s">
        <v>2242</v>
      </c>
      <c r="G356" s="1" t="s">
        <v>2024</v>
      </c>
      <c r="H356" s="1" t="s">
        <v>55</v>
      </c>
      <c r="I356" s="1" t="s">
        <v>56</v>
      </c>
      <c r="J356" s="1">
        <v>1201.0</v>
      </c>
      <c r="K356" s="1" t="s">
        <v>31</v>
      </c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1">
        <v>1.1001241E7</v>
      </c>
      <c r="B357" s="1" t="s">
        <v>2524</v>
      </c>
      <c r="C357" s="1" t="s">
        <v>51</v>
      </c>
      <c r="D357" s="1" t="s">
        <v>31</v>
      </c>
      <c r="E357" s="1" t="s">
        <v>2527</v>
      </c>
      <c r="F357" s="1" t="s">
        <v>2528</v>
      </c>
      <c r="G357" s="1" t="s">
        <v>2024</v>
      </c>
      <c r="H357" s="1" t="s">
        <v>55</v>
      </c>
      <c r="I357" s="1" t="s">
        <v>56</v>
      </c>
      <c r="J357" s="1">
        <v>1201.0</v>
      </c>
      <c r="K357" s="1" t="s">
        <v>31</v>
      </c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1">
        <v>1.1001242E7</v>
      </c>
      <c r="B358" s="1" t="s">
        <v>2524</v>
      </c>
      <c r="C358" s="1" t="s">
        <v>51</v>
      </c>
      <c r="D358" s="1" t="s">
        <v>31</v>
      </c>
      <c r="E358" s="1" t="s">
        <v>2531</v>
      </c>
      <c r="F358" s="1" t="s">
        <v>2532</v>
      </c>
      <c r="G358" s="1" t="s">
        <v>2024</v>
      </c>
      <c r="H358" s="1" t="s">
        <v>55</v>
      </c>
      <c r="I358" s="1" t="s">
        <v>56</v>
      </c>
      <c r="J358" s="1">
        <v>1201.0</v>
      </c>
      <c r="K358" s="1" t="s">
        <v>31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1">
        <v>1.1001243E7</v>
      </c>
      <c r="B359" s="1" t="s">
        <v>2536</v>
      </c>
      <c r="C359" s="1" t="s">
        <v>51</v>
      </c>
      <c r="D359" s="1" t="s">
        <v>2538</v>
      </c>
      <c r="E359" s="1" t="s">
        <v>2540</v>
      </c>
      <c r="F359" s="1" t="s">
        <v>2536</v>
      </c>
      <c r="G359" s="1" t="s">
        <v>2024</v>
      </c>
      <c r="H359" s="1" t="s">
        <v>412</v>
      </c>
      <c r="I359" s="1" t="s">
        <v>56</v>
      </c>
      <c r="J359" s="1">
        <v>1002.0</v>
      </c>
      <c r="K359" s="1" t="s">
        <v>31</v>
      </c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1">
        <v>1.1001246E7</v>
      </c>
      <c r="B360" s="1" t="s">
        <v>2219</v>
      </c>
      <c r="C360" s="1" t="s">
        <v>51</v>
      </c>
      <c r="D360" s="1" t="s">
        <v>2544</v>
      </c>
      <c r="E360" s="1" t="s">
        <v>2545</v>
      </c>
      <c r="F360" s="1" t="s">
        <v>2547</v>
      </c>
      <c r="G360" s="1" t="s">
        <v>369</v>
      </c>
      <c r="H360" s="1" t="s">
        <v>55</v>
      </c>
      <c r="I360" s="1" t="s">
        <v>56</v>
      </c>
      <c r="J360" s="1">
        <v>1031.0</v>
      </c>
      <c r="K360" s="1" t="s">
        <v>31</v>
      </c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1">
        <v>1.1001247E7</v>
      </c>
      <c r="B361" s="1" t="s">
        <v>2234</v>
      </c>
      <c r="C361" s="1" t="s">
        <v>51</v>
      </c>
      <c r="D361" s="1" t="s">
        <v>2544</v>
      </c>
      <c r="E361" s="1" t="s">
        <v>2549</v>
      </c>
      <c r="F361" s="1" t="s">
        <v>2547</v>
      </c>
      <c r="G361" s="1" t="s">
        <v>2024</v>
      </c>
      <c r="H361" s="1" t="s">
        <v>55</v>
      </c>
      <c r="I361" s="1" t="s">
        <v>56</v>
      </c>
      <c r="J361" s="1">
        <v>1031.0</v>
      </c>
      <c r="K361" s="1" t="s">
        <v>31</v>
      </c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1">
        <v>1.1001248E7</v>
      </c>
      <c r="B362" s="1" t="s">
        <v>2556</v>
      </c>
      <c r="C362" s="1" t="s">
        <v>51</v>
      </c>
      <c r="D362" s="1" t="s">
        <v>2558</v>
      </c>
      <c r="E362" s="1" t="s">
        <v>2559</v>
      </c>
      <c r="F362" s="1" t="s">
        <v>2561</v>
      </c>
      <c r="G362" s="1" t="s">
        <v>2024</v>
      </c>
      <c r="H362" s="1" t="s">
        <v>412</v>
      </c>
      <c r="I362" s="1" t="s">
        <v>56</v>
      </c>
      <c r="J362" s="1">
        <v>1002.0</v>
      </c>
      <c r="K362" s="1" t="s">
        <v>31</v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1">
        <v>1.1001249E7</v>
      </c>
      <c r="B363" s="1" t="s">
        <v>2563</v>
      </c>
      <c r="C363" s="1" t="s">
        <v>51</v>
      </c>
      <c r="D363" s="1" t="s">
        <v>2564</v>
      </c>
      <c r="E363" s="1" t="s">
        <v>2565</v>
      </c>
      <c r="F363" s="1" t="s">
        <v>2566</v>
      </c>
      <c r="G363" s="1" t="s">
        <v>2024</v>
      </c>
      <c r="H363" s="1" t="s">
        <v>412</v>
      </c>
      <c r="I363" s="1" t="s">
        <v>56</v>
      </c>
      <c r="J363" s="1">
        <v>1002.0</v>
      </c>
      <c r="K363" s="1" t="s">
        <v>31</v>
      </c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1">
        <v>1.1001252E7</v>
      </c>
      <c r="B364" s="1" t="s">
        <v>718</v>
      </c>
      <c r="C364" s="1" t="s">
        <v>51</v>
      </c>
      <c r="D364" s="1" t="s">
        <v>2567</v>
      </c>
      <c r="E364" s="1" t="s">
        <v>2568</v>
      </c>
      <c r="F364" s="1" t="s">
        <v>2569</v>
      </c>
      <c r="G364" s="1" t="s">
        <v>369</v>
      </c>
      <c r="H364" s="1" t="s">
        <v>412</v>
      </c>
      <c r="I364" s="1" t="s">
        <v>56</v>
      </c>
      <c r="J364" s="1">
        <v>2001.0</v>
      </c>
      <c r="K364" s="1" t="s">
        <v>31</v>
      </c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1">
        <v>1.1001255E7</v>
      </c>
      <c r="B365" s="1" t="s">
        <v>1314</v>
      </c>
      <c r="C365" s="1" t="s">
        <v>51</v>
      </c>
      <c r="D365" s="1" t="s">
        <v>2578</v>
      </c>
      <c r="E365" s="1" t="s">
        <v>31</v>
      </c>
      <c r="F365" s="1" t="s">
        <v>2579</v>
      </c>
      <c r="G365" s="1" t="s">
        <v>2024</v>
      </c>
      <c r="H365" s="1" t="s">
        <v>55</v>
      </c>
      <c r="I365" s="1" t="s">
        <v>56</v>
      </c>
      <c r="J365" s="1">
        <v>1001.0</v>
      </c>
      <c r="K365" s="1" t="s">
        <v>31</v>
      </c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1">
        <v>1.1001261E7</v>
      </c>
      <c r="B366" s="1" t="s">
        <v>2583</v>
      </c>
      <c r="C366" s="1" t="s">
        <v>51</v>
      </c>
      <c r="D366" s="1" t="s">
        <v>2584</v>
      </c>
      <c r="E366" s="1" t="s">
        <v>2585</v>
      </c>
      <c r="F366" s="1" t="s">
        <v>2586</v>
      </c>
      <c r="G366" s="1" t="s">
        <v>2024</v>
      </c>
      <c r="H366" s="1" t="s">
        <v>412</v>
      </c>
      <c r="I366" s="1" t="s">
        <v>56</v>
      </c>
      <c r="J366" s="1">
        <v>1002.0</v>
      </c>
      <c r="K366" s="1" t="s">
        <v>31</v>
      </c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1">
        <v>1.1001262E7</v>
      </c>
      <c r="B367" s="1" t="s">
        <v>2588</v>
      </c>
      <c r="C367" s="1" t="s">
        <v>51</v>
      </c>
      <c r="D367" s="1" t="s">
        <v>2589</v>
      </c>
      <c r="E367" s="1" t="s">
        <v>2590</v>
      </c>
      <c r="F367" s="1" t="s">
        <v>2599</v>
      </c>
      <c r="G367" s="1" t="s">
        <v>2024</v>
      </c>
      <c r="H367" s="1" t="s">
        <v>412</v>
      </c>
      <c r="I367" s="1" t="s">
        <v>56</v>
      </c>
      <c r="J367" s="1">
        <v>1002.0</v>
      </c>
      <c r="K367" s="1" t="s">
        <v>31</v>
      </c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1">
        <v>1.1001263E7</v>
      </c>
      <c r="B368" s="1" t="s">
        <v>2601</v>
      </c>
      <c r="C368" s="1" t="s">
        <v>51</v>
      </c>
      <c r="D368" s="1" t="s">
        <v>2589</v>
      </c>
      <c r="E368" s="1" t="s">
        <v>2603</v>
      </c>
      <c r="F368" s="1" t="s">
        <v>2604</v>
      </c>
      <c r="G368" s="1" t="s">
        <v>2024</v>
      </c>
      <c r="H368" s="1" t="s">
        <v>412</v>
      </c>
      <c r="I368" s="1" t="s">
        <v>56</v>
      </c>
      <c r="J368" s="1">
        <v>1002.0</v>
      </c>
      <c r="K368" s="1" t="s">
        <v>31</v>
      </c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1">
        <v>1.1001264E7</v>
      </c>
      <c r="B369" s="1" t="s">
        <v>2606</v>
      </c>
      <c r="C369" s="1" t="s">
        <v>51</v>
      </c>
      <c r="D369" s="1" t="s">
        <v>1912</v>
      </c>
      <c r="E369" s="1" t="s">
        <v>2607</v>
      </c>
      <c r="F369" s="1" t="s">
        <v>1915</v>
      </c>
      <c r="G369" s="1" t="s">
        <v>369</v>
      </c>
      <c r="H369" s="1" t="s">
        <v>412</v>
      </c>
      <c r="I369" s="1" t="s">
        <v>56</v>
      </c>
      <c r="J369" s="1">
        <v>1002.0</v>
      </c>
      <c r="K369" s="1" t="s">
        <v>31</v>
      </c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1">
        <v>1.1001265E7</v>
      </c>
      <c r="B370" s="1" t="s">
        <v>2610</v>
      </c>
      <c r="C370" s="1" t="s">
        <v>51</v>
      </c>
      <c r="D370" s="1" t="s">
        <v>1912</v>
      </c>
      <c r="E370" s="1" t="s">
        <v>2613</v>
      </c>
      <c r="F370" s="1" t="s">
        <v>1915</v>
      </c>
      <c r="G370" s="1" t="s">
        <v>369</v>
      </c>
      <c r="H370" s="1" t="s">
        <v>412</v>
      </c>
      <c r="I370" s="1" t="s">
        <v>56</v>
      </c>
      <c r="J370" s="1">
        <v>1002.0</v>
      </c>
      <c r="K370" s="1" t="s">
        <v>31</v>
      </c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1">
        <v>1.1001266E7</v>
      </c>
      <c r="B371" s="1" t="s">
        <v>2617</v>
      </c>
      <c r="C371" s="1" t="s">
        <v>51</v>
      </c>
      <c r="D371" s="1" t="s">
        <v>1912</v>
      </c>
      <c r="E371" s="1" t="s">
        <v>2618</v>
      </c>
      <c r="F371" s="1" t="s">
        <v>1915</v>
      </c>
      <c r="G371" s="1" t="s">
        <v>369</v>
      </c>
      <c r="H371" s="1" t="s">
        <v>412</v>
      </c>
      <c r="I371" s="1" t="s">
        <v>56</v>
      </c>
      <c r="J371" s="1">
        <v>1002.0</v>
      </c>
      <c r="K371" s="1" t="s">
        <v>31</v>
      </c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1">
        <v>1.1001273E7</v>
      </c>
      <c r="B372" s="1" t="s">
        <v>2623</v>
      </c>
      <c r="C372" s="1" t="s">
        <v>51</v>
      </c>
      <c r="D372" s="1" t="s">
        <v>2624</v>
      </c>
      <c r="E372" s="1" t="s">
        <v>2625</v>
      </c>
      <c r="F372" s="1" t="s">
        <v>2626</v>
      </c>
      <c r="G372" s="1" t="s">
        <v>2024</v>
      </c>
      <c r="H372" s="1" t="s">
        <v>412</v>
      </c>
      <c r="I372" s="1" t="s">
        <v>56</v>
      </c>
      <c r="J372" s="1">
        <v>1002.0</v>
      </c>
      <c r="K372" s="1" t="s">
        <v>31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1">
        <v>1.1001274E7</v>
      </c>
      <c r="B373" s="1" t="s">
        <v>2397</v>
      </c>
      <c r="C373" s="1" t="s">
        <v>51</v>
      </c>
      <c r="D373" s="1" t="s">
        <v>2624</v>
      </c>
      <c r="E373" s="1" t="s">
        <v>2628</v>
      </c>
      <c r="F373" s="1" t="s">
        <v>2626</v>
      </c>
      <c r="G373" s="1" t="s">
        <v>2024</v>
      </c>
      <c r="H373" s="1" t="s">
        <v>412</v>
      </c>
      <c r="I373" s="1" t="s">
        <v>56</v>
      </c>
      <c r="J373" s="1">
        <v>1002.0</v>
      </c>
      <c r="K373" s="1" t="s">
        <v>31</v>
      </c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1">
        <v>1.1001275E7</v>
      </c>
      <c r="B374" s="1" t="s">
        <v>2635</v>
      </c>
      <c r="C374" s="1" t="s">
        <v>51</v>
      </c>
      <c r="D374" s="1" t="s">
        <v>2624</v>
      </c>
      <c r="E374" s="1" t="s">
        <v>2636</v>
      </c>
      <c r="F374" s="1" t="s">
        <v>2626</v>
      </c>
      <c r="G374" s="1" t="s">
        <v>2024</v>
      </c>
      <c r="H374" s="1" t="s">
        <v>412</v>
      </c>
      <c r="I374" s="1" t="s">
        <v>56</v>
      </c>
      <c r="J374" s="1">
        <v>1002.0</v>
      </c>
      <c r="K374" s="1" t="s">
        <v>31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1">
        <v>1.1001276E7</v>
      </c>
      <c r="B375" s="1" t="s">
        <v>2639</v>
      </c>
      <c r="C375" s="1" t="s">
        <v>51</v>
      </c>
      <c r="D375" s="1" t="s">
        <v>2624</v>
      </c>
      <c r="E375" s="1" t="s">
        <v>2640</v>
      </c>
      <c r="F375" s="1" t="s">
        <v>2626</v>
      </c>
      <c r="G375" s="1" t="s">
        <v>2024</v>
      </c>
      <c r="H375" s="1" t="s">
        <v>412</v>
      </c>
      <c r="I375" s="1" t="s">
        <v>56</v>
      </c>
      <c r="J375" s="1">
        <v>1002.0</v>
      </c>
      <c r="K375" s="1" t="s">
        <v>31</v>
      </c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1">
        <v>1.1001277E7</v>
      </c>
      <c r="B376" s="1" t="s">
        <v>2642</v>
      </c>
      <c r="C376" s="1" t="s">
        <v>51</v>
      </c>
      <c r="D376" s="1" t="s">
        <v>2624</v>
      </c>
      <c r="E376" s="1" t="s">
        <v>2643</v>
      </c>
      <c r="F376" s="1" t="s">
        <v>2626</v>
      </c>
      <c r="G376" s="1" t="s">
        <v>2024</v>
      </c>
      <c r="H376" s="1" t="s">
        <v>412</v>
      </c>
      <c r="I376" s="1" t="s">
        <v>56</v>
      </c>
      <c r="J376" s="1">
        <v>1002.0</v>
      </c>
      <c r="K376" s="1" t="s">
        <v>31</v>
      </c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1">
        <v>1.1001278E7</v>
      </c>
      <c r="B377" s="1" t="s">
        <v>2648</v>
      </c>
      <c r="C377" s="1" t="s">
        <v>51</v>
      </c>
      <c r="D377" s="1" t="s">
        <v>2624</v>
      </c>
      <c r="E377" s="1" t="s">
        <v>2649</v>
      </c>
      <c r="F377" s="1" t="s">
        <v>2626</v>
      </c>
      <c r="G377" s="1" t="s">
        <v>2024</v>
      </c>
      <c r="H377" s="1" t="s">
        <v>412</v>
      </c>
      <c r="I377" s="1" t="s">
        <v>56</v>
      </c>
      <c r="J377" s="1">
        <v>1002.0</v>
      </c>
      <c r="K377" s="1" t="s">
        <v>31</v>
      </c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1">
        <v>1.1001279E7</v>
      </c>
      <c r="B378" s="1" t="s">
        <v>2656</v>
      </c>
      <c r="C378" s="1" t="s">
        <v>51</v>
      </c>
      <c r="D378" s="1" t="s">
        <v>1063</v>
      </c>
      <c r="E378" s="1" t="s">
        <v>2657</v>
      </c>
      <c r="F378" s="1" t="s">
        <v>2658</v>
      </c>
      <c r="G378" s="1" t="s">
        <v>2024</v>
      </c>
      <c r="H378" s="1" t="s">
        <v>412</v>
      </c>
      <c r="I378" s="1" t="s">
        <v>56</v>
      </c>
      <c r="J378" s="1">
        <v>1002.0</v>
      </c>
      <c r="K378" s="1" t="s">
        <v>31</v>
      </c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1">
        <v>1.100128E7</v>
      </c>
      <c r="B379" s="1" t="s">
        <v>2662</v>
      </c>
      <c r="C379" s="1" t="s">
        <v>51</v>
      </c>
      <c r="D379" s="1" t="s">
        <v>1063</v>
      </c>
      <c r="E379" s="1" t="s">
        <v>2663</v>
      </c>
      <c r="F379" s="1" t="s">
        <v>2658</v>
      </c>
      <c r="G379" s="1" t="s">
        <v>2024</v>
      </c>
      <c r="H379" s="1" t="s">
        <v>412</v>
      </c>
      <c r="I379" s="1" t="s">
        <v>56</v>
      </c>
      <c r="J379" s="1">
        <v>1002.0</v>
      </c>
      <c r="K379" s="1" t="s">
        <v>31</v>
      </c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1">
        <v>1.1001281E7</v>
      </c>
      <c r="B380" s="1" t="s">
        <v>2670</v>
      </c>
      <c r="C380" s="1" t="s">
        <v>51</v>
      </c>
      <c r="D380" s="1" t="s">
        <v>2671</v>
      </c>
      <c r="E380" s="1" t="s">
        <v>2672</v>
      </c>
      <c r="F380" s="1" t="s">
        <v>2673</v>
      </c>
      <c r="G380" s="1" t="s">
        <v>2024</v>
      </c>
      <c r="H380" s="1" t="s">
        <v>412</v>
      </c>
      <c r="I380" s="1" t="s">
        <v>56</v>
      </c>
      <c r="J380" s="1">
        <v>1002.0</v>
      </c>
      <c r="K380" s="1" t="s">
        <v>31</v>
      </c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1">
        <v>1.1001282E7</v>
      </c>
      <c r="B381" s="1" t="s">
        <v>2676</v>
      </c>
      <c r="C381" s="1" t="s">
        <v>51</v>
      </c>
      <c r="D381" s="1" t="s">
        <v>2677</v>
      </c>
      <c r="E381" s="1" t="s">
        <v>2625</v>
      </c>
      <c r="F381" s="1" t="s">
        <v>2678</v>
      </c>
      <c r="G381" s="1" t="s">
        <v>2024</v>
      </c>
      <c r="H381" s="1" t="s">
        <v>412</v>
      </c>
      <c r="I381" s="1" t="s">
        <v>56</v>
      </c>
      <c r="J381" s="1">
        <v>1002.0</v>
      </c>
      <c r="K381" s="1" t="s">
        <v>31</v>
      </c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1">
        <v>1.1001283E7</v>
      </c>
      <c r="B382" s="1" t="s">
        <v>2680</v>
      </c>
      <c r="C382" s="1" t="s">
        <v>51</v>
      </c>
      <c r="D382" s="1" t="s">
        <v>2677</v>
      </c>
      <c r="E382" s="1" t="s">
        <v>2628</v>
      </c>
      <c r="F382" s="1" t="s">
        <v>2678</v>
      </c>
      <c r="G382" s="1" t="s">
        <v>2024</v>
      </c>
      <c r="H382" s="1" t="s">
        <v>412</v>
      </c>
      <c r="I382" s="1" t="s">
        <v>56</v>
      </c>
      <c r="J382" s="1">
        <v>1002.0</v>
      </c>
      <c r="K382" s="1" t="s">
        <v>31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1">
        <v>1.1001284E7</v>
      </c>
      <c r="B383" s="1" t="s">
        <v>1307</v>
      </c>
      <c r="C383" s="1" t="s">
        <v>51</v>
      </c>
      <c r="D383" s="1" t="s">
        <v>1782</v>
      </c>
      <c r="E383" s="1" t="s">
        <v>1782</v>
      </c>
      <c r="F383" s="1" t="s">
        <v>1782</v>
      </c>
      <c r="G383" s="1" t="s">
        <v>369</v>
      </c>
      <c r="H383" s="1" t="s">
        <v>412</v>
      </c>
      <c r="I383" s="1" t="s">
        <v>56</v>
      </c>
      <c r="J383" s="1">
        <v>1001.0</v>
      </c>
      <c r="K383" s="1" t="s">
        <v>31</v>
      </c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1">
        <v>1.100129E7</v>
      </c>
      <c r="B384" s="1" t="s">
        <v>2689</v>
      </c>
      <c r="C384" s="1" t="s">
        <v>51</v>
      </c>
      <c r="D384" s="1" t="s">
        <v>2690</v>
      </c>
      <c r="E384" s="1" t="s">
        <v>31</v>
      </c>
      <c r="F384" s="1" t="s">
        <v>2691</v>
      </c>
      <c r="G384" s="1" t="s">
        <v>369</v>
      </c>
      <c r="H384" s="1" t="s">
        <v>55</v>
      </c>
      <c r="I384" s="1" t="s">
        <v>56</v>
      </c>
      <c r="J384" s="1">
        <v>1031.0</v>
      </c>
      <c r="K384" s="1" t="s">
        <v>31</v>
      </c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1">
        <v>1.1001292E7</v>
      </c>
      <c r="B385" s="1" t="s">
        <v>2692</v>
      </c>
      <c r="C385" s="1" t="s">
        <v>51</v>
      </c>
      <c r="D385" s="1" t="s">
        <v>1311</v>
      </c>
      <c r="E385" s="1" t="s">
        <v>2693</v>
      </c>
      <c r="F385" s="1" t="s">
        <v>2694</v>
      </c>
      <c r="G385" s="1" t="s">
        <v>2024</v>
      </c>
      <c r="H385" s="1" t="s">
        <v>55</v>
      </c>
      <c r="I385" s="1" t="s">
        <v>56</v>
      </c>
      <c r="J385" s="1">
        <v>1031.0</v>
      </c>
      <c r="K385" s="1" t="s">
        <v>31</v>
      </c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1">
        <v>1.1001293E7</v>
      </c>
      <c r="B386" s="1" t="s">
        <v>2695</v>
      </c>
      <c r="C386" s="1" t="s">
        <v>51</v>
      </c>
      <c r="D386" s="1" t="s">
        <v>1136</v>
      </c>
      <c r="E386" s="1" t="s">
        <v>2696</v>
      </c>
      <c r="F386" s="1" t="s">
        <v>31</v>
      </c>
      <c r="G386" s="1" t="s">
        <v>369</v>
      </c>
      <c r="H386" s="1" t="s">
        <v>55</v>
      </c>
      <c r="I386" s="1" t="s">
        <v>56</v>
      </c>
      <c r="J386" s="1">
        <v>1031.0</v>
      </c>
      <c r="K386" s="1" t="s">
        <v>31</v>
      </c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1">
        <v>1.1001294E7</v>
      </c>
      <c r="B387" s="1" t="s">
        <v>2704</v>
      </c>
      <c r="C387" s="1" t="s">
        <v>51</v>
      </c>
      <c r="D387" s="1" t="s">
        <v>1342</v>
      </c>
      <c r="E387" s="1" t="s">
        <v>2705</v>
      </c>
      <c r="F387" s="1" t="s">
        <v>2706</v>
      </c>
      <c r="G387" s="1" t="s">
        <v>2024</v>
      </c>
      <c r="H387" s="1" t="s">
        <v>55</v>
      </c>
      <c r="I387" s="1" t="s">
        <v>56</v>
      </c>
      <c r="J387" s="1">
        <v>1031.0</v>
      </c>
      <c r="K387" s="1" t="s">
        <v>31</v>
      </c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1">
        <v>1.1001295E7</v>
      </c>
      <c r="B388" s="1" t="s">
        <v>2708</v>
      </c>
      <c r="C388" s="1" t="s">
        <v>51</v>
      </c>
      <c r="D388" s="1" t="s">
        <v>1342</v>
      </c>
      <c r="E388" s="1" t="s">
        <v>2710</v>
      </c>
      <c r="F388" s="1" t="s">
        <v>2706</v>
      </c>
      <c r="G388" s="1" t="s">
        <v>2024</v>
      </c>
      <c r="H388" s="1" t="s">
        <v>55</v>
      </c>
      <c r="I388" s="1" t="s">
        <v>56</v>
      </c>
      <c r="J388" s="1">
        <v>1031.0</v>
      </c>
      <c r="K388" s="1" t="s">
        <v>31</v>
      </c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1">
        <v>1.1001303E7</v>
      </c>
      <c r="B389" s="1" t="s">
        <v>649</v>
      </c>
      <c r="C389" s="1" t="s">
        <v>51</v>
      </c>
      <c r="D389" s="1" t="s">
        <v>664</v>
      </c>
      <c r="E389" s="1" t="s">
        <v>2730</v>
      </c>
      <c r="F389" s="1" t="s">
        <v>1097</v>
      </c>
      <c r="G389" s="1" t="s">
        <v>2024</v>
      </c>
      <c r="H389" s="1" t="s">
        <v>55</v>
      </c>
      <c r="I389" s="1" t="s">
        <v>56</v>
      </c>
      <c r="J389" s="1">
        <v>1041.0</v>
      </c>
      <c r="K389" s="1" t="s">
        <v>31</v>
      </c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1">
        <v>1.1001304E7</v>
      </c>
      <c r="B390" s="1" t="s">
        <v>2734</v>
      </c>
      <c r="C390" s="1" t="s">
        <v>51</v>
      </c>
      <c r="D390" s="1" t="s">
        <v>1576</v>
      </c>
      <c r="E390" s="1" t="s">
        <v>2735</v>
      </c>
      <c r="F390" s="1" t="s">
        <v>1938</v>
      </c>
      <c r="G390" s="1" t="s">
        <v>2024</v>
      </c>
      <c r="H390" s="1" t="s">
        <v>412</v>
      </c>
      <c r="I390" s="1" t="s">
        <v>56</v>
      </c>
      <c r="J390" s="1">
        <v>1002.0</v>
      </c>
      <c r="K390" s="1" t="s">
        <v>31</v>
      </c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1">
        <v>1.1001305E7</v>
      </c>
      <c r="B391" s="1" t="s">
        <v>2740</v>
      </c>
      <c r="C391" s="1" t="s">
        <v>51</v>
      </c>
      <c r="D391" s="1" t="s">
        <v>1576</v>
      </c>
      <c r="E391" s="1" t="s">
        <v>2743</v>
      </c>
      <c r="F391" s="1" t="s">
        <v>1938</v>
      </c>
      <c r="G391" s="1" t="s">
        <v>2024</v>
      </c>
      <c r="H391" s="1" t="s">
        <v>412</v>
      </c>
      <c r="I391" s="1" t="s">
        <v>56</v>
      </c>
      <c r="J391" s="1">
        <v>1002.0</v>
      </c>
      <c r="K391" s="1" t="s">
        <v>31</v>
      </c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1">
        <v>1.1001306E7</v>
      </c>
      <c r="B392" s="1" t="s">
        <v>2748</v>
      </c>
      <c r="C392" s="1" t="s">
        <v>51</v>
      </c>
      <c r="D392" s="1" t="s">
        <v>1576</v>
      </c>
      <c r="E392" s="1" t="s">
        <v>2750</v>
      </c>
      <c r="F392" s="1" t="s">
        <v>2751</v>
      </c>
      <c r="G392" s="1" t="s">
        <v>2024</v>
      </c>
      <c r="H392" s="1" t="s">
        <v>412</v>
      </c>
      <c r="I392" s="1" t="s">
        <v>56</v>
      </c>
      <c r="J392" s="1">
        <v>1002.0</v>
      </c>
      <c r="K392" s="1" t="s">
        <v>31</v>
      </c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1">
        <v>1.1001307E7</v>
      </c>
      <c r="B393" s="1" t="s">
        <v>995</v>
      </c>
      <c r="C393" s="1" t="s">
        <v>51</v>
      </c>
      <c r="D393" s="1" t="s">
        <v>1576</v>
      </c>
      <c r="E393" s="1" t="s">
        <v>2753</v>
      </c>
      <c r="F393" s="1" t="s">
        <v>2751</v>
      </c>
      <c r="G393" s="1" t="s">
        <v>2024</v>
      </c>
      <c r="H393" s="1" t="s">
        <v>412</v>
      </c>
      <c r="I393" s="1" t="s">
        <v>56</v>
      </c>
      <c r="J393" s="1">
        <v>1002.0</v>
      </c>
      <c r="K393" s="1" t="s">
        <v>31</v>
      </c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1">
        <v>1.1001308E7</v>
      </c>
      <c r="B394" s="1" t="s">
        <v>2762</v>
      </c>
      <c r="C394" s="1" t="s">
        <v>51</v>
      </c>
      <c r="D394" s="1" t="s">
        <v>1063</v>
      </c>
      <c r="E394" s="1" t="s">
        <v>2764</v>
      </c>
      <c r="F394" s="1" t="s">
        <v>2658</v>
      </c>
      <c r="G394" s="1" t="s">
        <v>369</v>
      </c>
      <c r="H394" s="1" t="s">
        <v>412</v>
      </c>
      <c r="I394" s="1" t="s">
        <v>56</v>
      </c>
      <c r="J394" s="1">
        <v>1002.0</v>
      </c>
      <c r="K394" s="1" t="s">
        <v>31</v>
      </c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1">
        <v>1.1001309E7</v>
      </c>
      <c r="B395" s="1" t="s">
        <v>2767</v>
      </c>
      <c r="C395" s="1" t="s">
        <v>51</v>
      </c>
      <c r="D395" s="1" t="s">
        <v>2624</v>
      </c>
      <c r="E395" s="1" t="s">
        <v>2768</v>
      </c>
      <c r="F395" s="1" t="s">
        <v>2626</v>
      </c>
      <c r="G395" s="1" t="s">
        <v>2024</v>
      </c>
      <c r="H395" s="1" t="s">
        <v>412</v>
      </c>
      <c r="I395" s="1" t="s">
        <v>56</v>
      </c>
      <c r="J395" s="1">
        <v>1002.0</v>
      </c>
      <c r="K395" s="1" t="s">
        <v>31</v>
      </c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1">
        <v>1.100131E7</v>
      </c>
      <c r="B396" s="1" t="s">
        <v>2769</v>
      </c>
      <c r="C396" s="1" t="s">
        <v>51</v>
      </c>
      <c r="D396" s="1" t="s">
        <v>2624</v>
      </c>
      <c r="E396" s="1" t="s">
        <v>2770</v>
      </c>
      <c r="F396" s="1" t="s">
        <v>2626</v>
      </c>
      <c r="G396" s="1" t="s">
        <v>2024</v>
      </c>
      <c r="H396" s="1" t="s">
        <v>412</v>
      </c>
      <c r="I396" s="1" t="s">
        <v>56</v>
      </c>
      <c r="J396" s="1">
        <v>1002.0</v>
      </c>
      <c r="K396" s="1" t="s">
        <v>31</v>
      </c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1">
        <v>1.1001311E7</v>
      </c>
      <c r="B397" s="1" t="s">
        <v>2778</v>
      </c>
      <c r="C397" s="1" t="s">
        <v>51</v>
      </c>
      <c r="D397" s="1" t="s">
        <v>2624</v>
      </c>
      <c r="E397" s="1" t="s">
        <v>2779</v>
      </c>
      <c r="F397" s="1" t="s">
        <v>2626</v>
      </c>
      <c r="G397" s="1" t="s">
        <v>2024</v>
      </c>
      <c r="H397" s="1" t="s">
        <v>412</v>
      </c>
      <c r="I397" s="1" t="s">
        <v>56</v>
      </c>
      <c r="J397" s="1">
        <v>1002.0</v>
      </c>
      <c r="K397" s="1" t="s">
        <v>31</v>
      </c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1">
        <v>1.1001312E7</v>
      </c>
      <c r="B398" s="1" t="s">
        <v>2782</v>
      </c>
      <c r="C398" s="1" t="s">
        <v>51</v>
      </c>
      <c r="D398" s="1" t="s">
        <v>2624</v>
      </c>
      <c r="E398" s="1" t="s">
        <v>2783</v>
      </c>
      <c r="F398" s="1" t="s">
        <v>2626</v>
      </c>
      <c r="G398" s="1" t="s">
        <v>2024</v>
      </c>
      <c r="H398" s="1" t="s">
        <v>412</v>
      </c>
      <c r="I398" s="1" t="s">
        <v>56</v>
      </c>
      <c r="J398" s="1">
        <v>1002.0</v>
      </c>
      <c r="K398" s="1" t="s">
        <v>31</v>
      </c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1">
        <v>1.1001313E7</v>
      </c>
      <c r="B399" s="1" t="s">
        <v>2786</v>
      </c>
      <c r="C399" s="1" t="s">
        <v>51</v>
      </c>
      <c r="D399" s="1" t="s">
        <v>2787</v>
      </c>
      <c r="E399" s="1" t="s">
        <v>2789</v>
      </c>
      <c r="F399" s="1" t="s">
        <v>2792</v>
      </c>
      <c r="G399" s="1" t="s">
        <v>2024</v>
      </c>
      <c r="H399" s="1" t="s">
        <v>412</v>
      </c>
      <c r="I399" s="1" t="s">
        <v>56</v>
      </c>
      <c r="J399" s="1">
        <v>1031.0</v>
      </c>
      <c r="K399" s="1" t="s">
        <v>31</v>
      </c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1">
        <v>1.1001323E7</v>
      </c>
      <c r="B400" s="1" t="s">
        <v>2799</v>
      </c>
      <c r="C400" s="1" t="s">
        <v>51</v>
      </c>
      <c r="D400" s="1" t="s">
        <v>1455</v>
      </c>
      <c r="E400" s="1" t="s">
        <v>2800</v>
      </c>
      <c r="F400" s="1" t="s">
        <v>31</v>
      </c>
      <c r="G400" s="1" t="s">
        <v>2024</v>
      </c>
      <c r="H400" s="1" t="s">
        <v>412</v>
      </c>
      <c r="I400" s="1" t="s">
        <v>56</v>
      </c>
      <c r="J400" s="1">
        <v>1002.0</v>
      </c>
      <c r="K400" s="1" t="s">
        <v>31</v>
      </c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1">
        <v>1.1001324E7</v>
      </c>
      <c r="B401" s="1" t="s">
        <v>2614</v>
      </c>
      <c r="C401" s="1" t="s">
        <v>51</v>
      </c>
      <c r="D401" s="1" t="s">
        <v>2804</v>
      </c>
      <c r="E401" s="1" t="s">
        <v>2805</v>
      </c>
      <c r="F401" s="1" t="s">
        <v>1975</v>
      </c>
      <c r="G401" s="1" t="s">
        <v>369</v>
      </c>
      <c r="H401" s="1" t="s">
        <v>412</v>
      </c>
      <c r="I401" s="1" t="s">
        <v>56</v>
      </c>
      <c r="J401" s="1">
        <v>2001.0</v>
      </c>
      <c r="K401" s="1" t="s">
        <v>31</v>
      </c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1">
        <v>1.1001325E7</v>
      </c>
      <c r="B402" s="1" t="s">
        <v>2627</v>
      </c>
      <c r="C402" s="1" t="s">
        <v>51</v>
      </c>
      <c r="D402" s="1" t="s">
        <v>2804</v>
      </c>
      <c r="E402" s="1" t="s">
        <v>2814</v>
      </c>
      <c r="F402" s="1" t="s">
        <v>1975</v>
      </c>
      <c r="G402" s="1" t="s">
        <v>369</v>
      </c>
      <c r="H402" s="1" t="s">
        <v>412</v>
      </c>
      <c r="I402" s="1" t="s">
        <v>56</v>
      </c>
      <c r="J402" s="1">
        <v>2001.0</v>
      </c>
      <c r="K402" s="1" t="s">
        <v>31</v>
      </c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1">
        <v>1.1001327E7</v>
      </c>
      <c r="B403" s="1" t="s">
        <v>1277</v>
      </c>
      <c r="C403" s="1" t="s">
        <v>51</v>
      </c>
      <c r="D403" s="1" t="s">
        <v>940</v>
      </c>
      <c r="E403" s="1" t="s">
        <v>2825</v>
      </c>
      <c r="F403" s="1" t="s">
        <v>2826</v>
      </c>
      <c r="G403" s="1" t="s">
        <v>2024</v>
      </c>
      <c r="H403" s="1" t="s">
        <v>55</v>
      </c>
      <c r="I403" s="1" t="s">
        <v>56</v>
      </c>
      <c r="J403" s="1">
        <v>1041.0</v>
      </c>
      <c r="K403" s="1" t="s">
        <v>31</v>
      </c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1">
        <v>1.1001339E7</v>
      </c>
      <c r="B404" s="1" t="s">
        <v>2835</v>
      </c>
      <c r="C404" s="1" t="s">
        <v>51</v>
      </c>
      <c r="D404" s="1" t="s">
        <v>2838</v>
      </c>
      <c r="E404" s="1" t="s">
        <v>302</v>
      </c>
      <c r="F404" s="1" t="s">
        <v>2839</v>
      </c>
      <c r="G404" s="1" t="s">
        <v>2024</v>
      </c>
      <c r="H404" s="1" t="s">
        <v>412</v>
      </c>
      <c r="I404" s="1" t="s">
        <v>56</v>
      </c>
      <c r="J404" s="1">
        <v>1501.0</v>
      </c>
      <c r="K404" s="1" t="s">
        <v>31</v>
      </c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1">
        <v>1.1001347E7</v>
      </c>
      <c r="B405" s="1" t="s">
        <v>2841</v>
      </c>
      <c r="C405" s="1" t="s">
        <v>51</v>
      </c>
      <c r="D405" s="1" t="s">
        <v>2838</v>
      </c>
      <c r="E405" s="1" t="s">
        <v>31</v>
      </c>
      <c r="F405" s="1" t="s">
        <v>2839</v>
      </c>
      <c r="G405" s="1" t="s">
        <v>2024</v>
      </c>
      <c r="H405" s="1" t="s">
        <v>412</v>
      </c>
      <c r="I405" s="1" t="s">
        <v>56</v>
      </c>
      <c r="J405" s="1">
        <v>1501.0</v>
      </c>
      <c r="K405" s="1" t="s">
        <v>31</v>
      </c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1">
        <v>1.1001351E7</v>
      </c>
      <c r="B406" s="1" t="s">
        <v>2845</v>
      </c>
      <c r="C406" s="1" t="s">
        <v>51</v>
      </c>
      <c r="D406" s="1" t="s">
        <v>2847</v>
      </c>
      <c r="E406" s="1" t="s">
        <v>2848</v>
      </c>
      <c r="F406" s="1" t="s">
        <v>2849</v>
      </c>
      <c r="G406" s="1" t="s">
        <v>369</v>
      </c>
      <c r="H406" s="1" t="s">
        <v>412</v>
      </c>
      <c r="I406" s="1" t="s">
        <v>56</v>
      </c>
      <c r="J406" s="1">
        <v>1031.0</v>
      </c>
      <c r="K406" s="1" t="s">
        <v>31</v>
      </c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1">
        <v>1.1001352E7</v>
      </c>
      <c r="B407" s="1" t="s">
        <v>2856</v>
      </c>
      <c r="C407" s="1" t="s">
        <v>51</v>
      </c>
      <c r="D407" s="1" t="s">
        <v>1342</v>
      </c>
      <c r="E407" s="1" t="s">
        <v>31</v>
      </c>
      <c r="F407" s="1" t="s">
        <v>2857</v>
      </c>
      <c r="G407" s="1" t="s">
        <v>2024</v>
      </c>
      <c r="H407" s="1" t="s">
        <v>412</v>
      </c>
      <c r="I407" s="1" t="s">
        <v>56</v>
      </c>
      <c r="J407" s="1">
        <v>1041.0</v>
      </c>
      <c r="K407" s="1" t="s">
        <v>31</v>
      </c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1">
        <v>1.1001358E7</v>
      </c>
      <c r="B408" s="1" t="s">
        <v>2867</v>
      </c>
      <c r="C408" s="1" t="s">
        <v>51</v>
      </c>
      <c r="D408" s="1" t="s">
        <v>2868</v>
      </c>
      <c r="E408" s="1" t="s">
        <v>31</v>
      </c>
      <c r="F408" s="1" t="s">
        <v>31</v>
      </c>
      <c r="G408" s="1" t="s">
        <v>2024</v>
      </c>
      <c r="H408" s="1" t="s">
        <v>412</v>
      </c>
      <c r="I408" s="1" t="s">
        <v>56</v>
      </c>
      <c r="J408" s="1">
        <v>2501.0</v>
      </c>
      <c r="K408" s="1" t="s">
        <v>31</v>
      </c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1">
        <v>1.100136E7</v>
      </c>
      <c r="B409" s="1" t="s">
        <v>2872</v>
      </c>
      <c r="C409" s="1" t="s">
        <v>51</v>
      </c>
      <c r="D409" s="1" t="s">
        <v>2875</v>
      </c>
      <c r="E409" s="1" t="s">
        <v>2876</v>
      </c>
      <c r="F409" s="1" t="s">
        <v>2877</v>
      </c>
      <c r="G409" s="1" t="s">
        <v>2024</v>
      </c>
      <c r="H409" s="1" t="s">
        <v>412</v>
      </c>
      <c r="I409" s="1" t="s">
        <v>56</v>
      </c>
      <c r="J409" s="1">
        <v>1002.0</v>
      </c>
      <c r="K409" s="1" t="s">
        <v>31</v>
      </c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1">
        <v>1.1001361E7</v>
      </c>
      <c r="B410" s="1" t="s">
        <v>2884</v>
      </c>
      <c r="C410" s="1" t="s">
        <v>51</v>
      </c>
      <c r="D410" s="1" t="s">
        <v>2875</v>
      </c>
      <c r="E410" s="1" t="s">
        <v>2885</v>
      </c>
      <c r="F410" s="1" t="s">
        <v>2877</v>
      </c>
      <c r="G410" s="1" t="s">
        <v>2024</v>
      </c>
      <c r="H410" s="1" t="s">
        <v>412</v>
      </c>
      <c r="I410" s="1" t="s">
        <v>56</v>
      </c>
      <c r="J410" s="1">
        <v>1002.0</v>
      </c>
      <c r="K410" s="1" t="s">
        <v>31</v>
      </c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1">
        <v>1.1001362E7</v>
      </c>
      <c r="B411" s="1" t="s">
        <v>2893</v>
      </c>
      <c r="C411" s="1" t="s">
        <v>51</v>
      </c>
      <c r="D411" s="1" t="s">
        <v>2875</v>
      </c>
      <c r="E411" s="1" t="s">
        <v>2894</v>
      </c>
      <c r="F411" s="1" t="s">
        <v>2877</v>
      </c>
      <c r="G411" s="1" t="s">
        <v>2024</v>
      </c>
      <c r="H411" s="1" t="s">
        <v>412</v>
      </c>
      <c r="I411" s="1" t="s">
        <v>56</v>
      </c>
      <c r="J411" s="1">
        <v>1002.0</v>
      </c>
      <c r="K411" s="1" t="s">
        <v>31</v>
      </c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1">
        <v>1.1001363E7</v>
      </c>
      <c r="B412" s="1" t="s">
        <v>2897</v>
      </c>
      <c r="C412" s="1" t="s">
        <v>51</v>
      </c>
      <c r="D412" s="1" t="s">
        <v>2898</v>
      </c>
      <c r="E412" s="1" t="s">
        <v>2899</v>
      </c>
      <c r="F412" s="1" t="s">
        <v>2901</v>
      </c>
      <c r="G412" s="1" t="s">
        <v>2024</v>
      </c>
      <c r="H412" s="1" t="s">
        <v>412</v>
      </c>
      <c r="I412" s="1" t="s">
        <v>56</v>
      </c>
      <c r="J412" s="1">
        <v>1002.0</v>
      </c>
      <c r="K412" s="1" t="s">
        <v>31</v>
      </c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1">
        <v>1.1001365E7</v>
      </c>
      <c r="B413" s="1" t="s">
        <v>2908</v>
      </c>
      <c r="C413" s="1" t="s">
        <v>51</v>
      </c>
      <c r="D413" s="1" t="s">
        <v>2909</v>
      </c>
      <c r="E413" s="1" t="s">
        <v>2911</v>
      </c>
      <c r="F413" s="1" t="s">
        <v>2912</v>
      </c>
      <c r="G413" s="1" t="s">
        <v>2024</v>
      </c>
      <c r="H413" s="1" t="s">
        <v>412</v>
      </c>
      <c r="I413" s="1" t="s">
        <v>56</v>
      </c>
      <c r="J413" s="1">
        <v>1002.0</v>
      </c>
      <c r="K413" s="1" t="s">
        <v>31</v>
      </c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1">
        <v>1.1001366E7</v>
      </c>
      <c r="B414" s="1" t="s">
        <v>2916</v>
      </c>
      <c r="C414" s="1" t="s">
        <v>51</v>
      </c>
      <c r="D414" s="1" t="s">
        <v>2918</v>
      </c>
      <c r="E414" s="1" t="s">
        <v>2919</v>
      </c>
      <c r="F414" s="1" t="s">
        <v>2921</v>
      </c>
      <c r="G414" s="1" t="s">
        <v>2024</v>
      </c>
      <c r="H414" s="1" t="s">
        <v>412</v>
      </c>
      <c r="I414" s="1" t="s">
        <v>56</v>
      </c>
      <c r="J414" s="1">
        <v>1002.0</v>
      </c>
      <c r="K414" s="1" t="s">
        <v>31</v>
      </c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1">
        <v>1.1001367E7</v>
      </c>
      <c r="B415" s="1" t="s">
        <v>2588</v>
      </c>
      <c r="C415" s="1" t="s">
        <v>51</v>
      </c>
      <c r="D415" s="1" t="s">
        <v>2589</v>
      </c>
      <c r="E415" s="1" t="s">
        <v>2925</v>
      </c>
      <c r="F415" s="1" t="s">
        <v>2599</v>
      </c>
      <c r="G415" s="1" t="s">
        <v>2024</v>
      </c>
      <c r="H415" s="1" t="s">
        <v>412</v>
      </c>
      <c r="I415" s="1" t="s">
        <v>56</v>
      </c>
      <c r="J415" s="1">
        <v>1002.0</v>
      </c>
      <c r="K415" s="1" t="s">
        <v>31</v>
      </c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1">
        <v>1.1001368E7</v>
      </c>
      <c r="B416" s="1" t="s">
        <v>2927</v>
      </c>
      <c r="C416" s="1" t="s">
        <v>51</v>
      </c>
      <c r="D416" s="1" t="s">
        <v>2928</v>
      </c>
      <c r="E416" s="1" t="s">
        <v>2929</v>
      </c>
      <c r="F416" s="1" t="s">
        <v>2930</v>
      </c>
      <c r="G416" s="1" t="s">
        <v>2024</v>
      </c>
      <c r="H416" s="1" t="s">
        <v>412</v>
      </c>
      <c r="I416" s="1" t="s">
        <v>56</v>
      </c>
      <c r="J416" s="1">
        <v>1002.0</v>
      </c>
      <c r="K416" s="1" t="s">
        <v>31</v>
      </c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1">
        <v>1.1001369E7</v>
      </c>
      <c r="B417" s="1" t="s">
        <v>2932</v>
      </c>
      <c r="C417" s="1" t="s">
        <v>51</v>
      </c>
      <c r="D417" s="1" t="s">
        <v>2933</v>
      </c>
      <c r="E417" s="1" t="s">
        <v>2934</v>
      </c>
      <c r="F417" s="1" t="s">
        <v>2935</v>
      </c>
      <c r="G417" s="1" t="s">
        <v>2024</v>
      </c>
      <c r="H417" s="1" t="s">
        <v>412</v>
      </c>
      <c r="I417" s="1" t="s">
        <v>56</v>
      </c>
      <c r="J417" s="1">
        <v>1002.0</v>
      </c>
      <c r="K417" s="1" t="s">
        <v>31</v>
      </c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1">
        <v>1.100137E7</v>
      </c>
      <c r="B418" s="1" t="s">
        <v>2119</v>
      </c>
      <c r="C418" s="1" t="s">
        <v>51</v>
      </c>
      <c r="D418" s="1" t="s">
        <v>2942</v>
      </c>
      <c r="E418" s="1" t="s">
        <v>2943</v>
      </c>
      <c r="F418" s="1" t="s">
        <v>31</v>
      </c>
      <c r="G418" s="1" t="s">
        <v>2024</v>
      </c>
      <c r="H418" s="1" t="s">
        <v>412</v>
      </c>
      <c r="I418" s="1" t="s">
        <v>56</v>
      </c>
      <c r="J418" s="1">
        <v>1002.0</v>
      </c>
      <c r="K418" s="1" t="s">
        <v>31</v>
      </c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1">
        <v>1.1001371E7</v>
      </c>
      <c r="B419" s="1" t="s">
        <v>2246</v>
      </c>
      <c r="C419" s="1" t="s">
        <v>51</v>
      </c>
      <c r="D419" s="1" t="s">
        <v>2948</v>
      </c>
      <c r="E419" s="1" t="s">
        <v>2949</v>
      </c>
      <c r="F419" s="1" t="s">
        <v>2950</v>
      </c>
      <c r="G419" s="1" t="s">
        <v>2024</v>
      </c>
      <c r="H419" s="1" t="s">
        <v>412</v>
      </c>
      <c r="I419" s="1" t="s">
        <v>56</v>
      </c>
      <c r="J419" s="1">
        <v>1002.0</v>
      </c>
      <c r="K419" s="1" t="s">
        <v>31</v>
      </c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1">
        <v>1.1001375E7</v>
      </c>
      <c r="B420" s="1" t="s">
        <v>2953</v>
      </c>
      <c r="C420" s="1" t="s">
        <v>51</v>
      </c>
      <c r="D420" s="1" t="s">
        <v>2955</v>
      </c>
      <c r="E420" s="1" t="s">
        <v>2956</v>
      </c>
      <c r="F420" s="1" t="s">
        <v>2958</v>
      </c>
      <c r="G420" s="1" t="s">
        <v>2024</v>
      </c>
      <c r="H420" s="1" t="s">
        <v>412</v>
      </c>
      <c r="I420" s="1" t="s">
        <v>56</v>
      </c>
      <c r="J420" s="1">
        <v>1002.0</v>
      </c>
      <c r="K420" s="1" t="s">
        <v>31</v>
      </c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1">
        <v>1.1001376E7</v>
      </c>
      <c r="B421" s="1" t="s">
        <v>2962</v>
      </c>
      <c r="C421" s="1" t="s">
        <v>51</v>
      </c>
      <c r="D421" s="1" t="s">
        <v>2963</v>
      </c>
      <c r="E421" s="1" t="s">
        <v>2964</v>
      </c>
      <c r="F421" s="1" t="s">
        <v>2966</v>
      </c>
      <c r="G421" s="1" t="s">
        <v>2024</v>
      </c>
      <c r="H421" s="1" t="s">
        <v>412</v>
      </c>
      <c r="I421" s="1" t="s">
        <v>56</v>
      </c>
      <c r="J421" s="1">
        <v>1002.0</v>
      </c>
      <c r="K421" s="1" t="s">
        <v>31</v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1">
        <v>1.1001383E7</v>
      </c>
      <c r="B422" s="1" t="s">
        <v>2474</v>
      </c>
      <c r="C422" s="1" t="s">
        <v>51</v>
      </c>
      <c r="D422" s="1" t="s">
        <v>2970</v>
      </c>
      <c r="E422" s="1" t="s">
        <v>2972</v>
      </c>
      <c r="F422" s="1" t="s">
        <v>2973</v>
      </c>
      <c r="G422" s="1" t="s">
        <v>2024</v>
      </c>
      <c r="H422" s="1" t="s">
        <v>412</v>
      </c>
      <c r="I422" s="1" t="s">
        <v>56</v>
      </c>
      <c r="J422" s="1">
        <v>1002.0</v>
      </c>
      <c r="K422" s="1" t="s">
        <v>31</v>
      </c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1">
        <v>1.1001384E7</v>
      </c>
      <c r="B423" s="1" t="s">
        <v>2637</v>
      </c>
      <c r="C423" s="1" t="s">
        <v>51</v>
      </c>
      <c r="D423" s="1" t="s">
        <v>2970</v>
      </c>
      <c r="E423" s="1" t="s">
        <v>2977</v>
      </c>
      <c r="F423" s="1" t="s">
        <v>2978</v>
      </c>
      <c r="G423" s="1" t="s">
        <v>2024</v>
      </c>
      <c r="H423" s="1" t="s">
        <v>412</v>
      </c>
      <c r="I423" s="1" t="s">
        <v>56</v>
      </c>
      <c r="J423" s="1">
        <v>1002.0</v>
      </c>
      <c r="K423" s="1" t="s">
        <v>31</v>
      </c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1">
        <v>1.1001386E7</v>
      </c>
      <c r="B424" s="1" t="s">
        <v>1182</v>
      </c>
      <c r="C424" s="1" t="s">
        <v>51</v>
      </c>
      <c r="D424" s="1" t="s">
        <v>2985</v>
      </c>
      <c r="E424" s="1" t="s">
        <v>2986</v>
      </c>
      <c r="F424" s="1" t="s">
        <v>750</v>
      </c>
      <c r="G424" s="1" t="s">
        <v>2024</v>
      </c>
      <c r="H424" s="1" t="s">
        <v>412</v>
      </c>
      <c r="I424" s="1" t="s">
        <v>56</v>
      </c>
      <c r="J424" s="1">
        <v>2001.0</v>
      </c>
      <c r="K424" s="1" t="s">
        <v>31</v>
      </c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1">
        <v>1.1001388E7</v>
      </c>
      <c r="B425" s="1" t="s">
        <v>2988</v>
      </c>
      <c r="C425" s="1" t="s">
        <v>51</v>
      </c>
      <c r="D425" s="1" t="s">
        <v>2989</v>
      </c>
      <c r="E425" s="1" t="s">
        <v>2990</v>
      </c>
      <c r="F425" s="1" t="s">
        <v>2991</v>
      </c>
      <c r="G425" s="1" t="s">
        <v>2024</v>
      </c>
      <c r="H425" s="1" t="s">
        <v>412</v>
      </c>
      <c r="I425" s="1" t="s">
        <v>56</v>
      </c>
      <c r="J425" s="1">
        <v>2001.0</v>
      </c>
      <c r="K425" s="1" t="s">
        <v>31</v>
      </c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1">
        <v>1.100139E7</v>
      </c>
      <c r="B426" s="1" t="s">
        <v>1012</v>
      </c>
      <c r="C426" s="1" t="s">
        <v>51</v>
      </c>
      <c r="D426" s="1" t="s">
        <v>2993</v>
      </c>
      <c r="E426" s="1" t="s">
        <v>2994</v>
      </c>
      <c r="F426" s="1" t="s">
        <v>2995</v>
      </c>
      <c r="G426" s="1" t="s">
        <v>2024</v>
      </c>
      <c r="H426" s="1" t="s">
        <v>412</v>
      </c>
      <c r="I426" s="1" t="s">
        <v>56</v>
      </c>
      <c r="J426" s="1">
        <v>1002.0</v>
      </c>
      <c r="K426" s="1" t="s">
        <v>31</v>
      </c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1">
        <v>1.1001393E7</v>
      </c>
      <c r="B427" s="1" t="s">
        <v>3001</v>
      </c>
      <c r="C427" s="1" t="s">
        <v>51</v>
      </c>
      <c r="D427" s="1" t="s">
        <v>2993</v>
      </c>
      <c r="E427" s="1" t="s">
        <v>2994</v>
      </c>
      <c r="F427" s="1" t="s">
        <v>3005</v>
      </c>
      <c r="G427" s="1" t="s">
        <v>2024</v>
      </c>
      <c r="H427" s="1" t="s">
        <v>412</v>
      </c>
      <c r="I427" s="1" t="s">
        <v>56</v>
      </c>
      <c r="J427" s="1">
        <v>1002.0</v>
      </c>
      <c r="K427" s="1" t="s">
        <v>31</v>
      </c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1">
        <v>1.1001394E7</v>
      </c>
      <c r="B428" s="1" t="s">
        <v>3007</v>
      </c>
      <c r="C428" s="1" t="s">
        <v>51</v>
      </c>
      <c r="D428" s="1" t="s">
        <v>3008</v>
      </c>
      <c r="E428" s="1" t="s">
        <v>2956</v>
      </c>
      <c r="F428" s="1" t="s">
        <v>2958</v>
      </c>
      <c r="G428" s="1" t="s">
        <v>2024</v>
      </c>
      <c r="H428" s="1" t="s">
        <v>412</v>
      </c>
      <c r="I428" s="1" t="s">
        <v>56</v>
      </c>
      <c r="J428" s="1">
        <v>1002.0</v>
      </c>
      <c r="K428" s="1" t="s">
        <v>31</v>
      </c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1">
        <v>1.1001395E7</v>
      </c>
      <c r="B429" s="1" t="s">
        <v>3016</v>
      </c>
      <c r="C429" s="1" t="s">
        <v>51</v>
      </c>
      <c r="D429" s="1" t="s">
        <v>3017</v>
      </c>
      <c r="E429" s="1" t="s">
        <v>3018</v>
      </c>
      <c r="F429" s="1" t="s">
        <v>3019</v>
      </c>
      <c r="G429" s="1" t="s">
        <v>2024</v>
      </c>
      <c r="H429" s="1" t="s">
        <v>412</v>
      </c>
      <c r="I429" s="1" t="s">
        <v>56</v>
      </c>
      <c r="J429" s="1">
        <v>1002.0</v>
      </c>
      <c r="K429" s="1" t="s">
        <v>31</v>
      </c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1">
        <v>1.1001396E7</v>
      </c>
      <c r="B430" s="1" t="s">
        <v>3023</v>
      </c>
      <c r="C430" s="1" t="s">
        <v>51</v>
      </c>
      <c r="D430" s="1" t="s">
        <v>3024</v>
      </c>
      <c r="E430" s="1" t="s">
        <v>2919</v>
      </c>
      <c r="F430" s="1" t="s">
        <v>460</v>
      </c>
      <c r="G430" s="1" t="s">
        <v>2024</v>
      </c>
      <c r="H430" s="1" t="s">
        <v>412</v>
      </c>
      <c r="I430" s="1" t="s">
        <v>56</v>
      </c>
      <c r="J430" s="1">
        <v>1002.0</v>
      </c>
      <c r="K430" s="1" t="s">
        <v>31</v>
      </c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1">
        <v>1.1001397E7</v>
      </c>
      <c r="B431" s="1" t="s">
        <v>3032</v>
      </c>
      <c r="C431" s="1" t="s">
        <v>51</v>
      </c>
      <c r="D431" s="1" t="s">
        <v>2928</v>
      </c>
      <c r="E431" s="1" t="s">
        <v>2929</v>
      </c>
      <c r="F431" s="1" t="s">
        <v>460</v>
      </c>
      <c r="G431" s="1" t="s">
        <v>2024</v>
      </c>
      <c r="H431" s="1" t="s">
        <v>412</v>
      </c>
      <c r="I431" s="1" t="s">
        <v>56</v>
      </c>
      <c r="J431" s="1">
        <v>1002.0</v>
      </c>
      <c r="K431" s="1" t="s">
        <v>31</v>
      </c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1">
        <v>1.1001399E7</v>
      </c>
      <c r="B432" s="1" t="s">
        <v>3036</v>
      </c>
      <c r="C432" s="1" t="s">
        <v>51</v>
      </c>
      <c r="D432" s="1" t="s">
        <v>3038</v>
      </c>
      <c r="E432" s="1" t="s">
        <v>3039</v>
      </c>
      <c r="F432" s="1" t="s">
        <v>3040</v>
      </c>
      <c r="G432" s="1" t="s">
        <v>2024</v>
      </c>
      <c r="H432" s="1" t="s">
        <v>412</v>
      </c>
      <c r="I432" s="1" t="s">
        <v>56</v>
      </c>
      <c r="J432" s="1">
        <v>1002.0</v>
      </c>
      <c r="K432" s="1" t="s">
        <v>31</v>
      </c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1">
        <v>1.1001401E7</v>
      </c>
      <c r="B433" s="1" t="s">
        <v>3045</v>
      </c>
      <c r="C433" s="1" t="s">
        <v>51</v>
      </c>
      <c r="D433" s="1" t="s">
        <v>3047</v>
      </c>
      <c r="E433" s="1" t="s">
        <v>3048</v>
      </c>
      <c r="F433" s="1" t="s">
        <v>3049</v>
      </c>
      <c r="G433" s="1" t="s">
        <v>2024</v>
      </c>
      <c r="H433" s="1" t="s">
        <v>412</v>
      </c>
      <c r="I433" s="1" t="s">
        <v>56</v>
      </c>
      <c r="J433" s="1">
        <v>1501.0</v>
      </c>
      <c r="K433" s="1" t="s">
        <v>31</v>
      </c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1">
        <v>1.100141E7</v>
      </c>
      <c r="B434" s="1" t="s">
        <v>3052</v>
      </c>
      <c r="C434" s="1" t="s">
        <v>51</v>
      </c>
      <c r="D434" s="1" t="s">
        <v>2804</v>
      </c>
      <c r="E434" s="1" t="s">
        <v>3053</v>
      </c>
      <c r="F434" s="1" t="s">
        <v>1975</v>
      </c>
      <c r="G434" s="1" t="s">
        <v>2024</v>
      </c>
      <c r="H434" s="1" t="s">
        <v>412</v>
      </c>
      <c r="I434" s="1" t="s">
        <v>56</v>
      </c>
      <c r="J434" s="1">
        <v>2001.0</v>
      </c>
      <c r="K434" s="1" t="s">
        <v>31</v>
      </c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1">
        <v>1.1001429E7</v>
      </c>
      <c r="B435" s="1" t="s">
        <v>3061</v>
      </c>
      <c r="C435" s="1" t="s">
        <v>51</v>
      </c>
      <c r="D435" s="1" t="s">
        <v>252</v>
      </c>
      <c r="E435" s="1" t="s">
        <v>3064</v>
      </c>
      <c r="F435" s="1" t="s">
        <v>3065</v>
      </c>
      <c r="G435" s="1" t="s">
        <v>2024</v>
      </c>
      <c r="H435" s="1" t="s">
        <v>55</v>
      </c>
      <c r="I435" s="1" t="s">
        <v>56</v>
      </c>
      <c r="J435" s="1">
        <v>2501.0</v>
      </c>
      <c r="K435" s="1" t="s">
        <v>31</v>
      </c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1">
        <v>1.100143E7</v>
      </c>
      <c r="B436" s="1" t="s">
        <v>3067</v>
      </c>
      <c r="C436" s="1" t="s">
        <v>51</v>
      </c>
      <c r="D436" s="1" t="s">
        <v>460</v>
      </c>
      <c r="E436" s="1" t="s">
        <v>31</v>
      </c>
      <c r="F436" s="1" t="s">
        <v>460</v>
      </c>
      <c r="G436" s="1" t="s">
        <v>2024</v>
      </c>
      <c r="H436" s="1" t="s">
        <v>412</v>
      </c>
      <c r="I436" s="1" t="s">
        <v>56</v>
      </c>
      <c r="J436" s="1">
        <v>1036.0</v>
      </c>
      <c r="K436" s="1" t="s">
        <v>31</v>
      </c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1">
        <v>1.1001431E7</v>
      </c>
      <c r="B437" s="1" t="s">
        <v>3075</v>
      </c>
      <c r="C437" s="1" t="s">
        <v>51</v>
      </c>
      <c r="D437" s="1" t="s">
        <v>31</v>
      </c>
      <c r="E437" s="1" t="s">
        <v>31</v>
      </c>
      <c r="F437" s="1" t="s">
        <v>31</v>
      </c>
      <c r="G437" s="1" t="s">
        <v>2024</v>
      </c>
      <c r="H437" s="1" t="s">
        <v>412</v>
      </c>
      <c r="I437" s="1" t="s">
        <v>56</v>
      </c>
      <c r="J437" s="1">
        <v>1036.0</v>
      </c>
      <c r="K437" s="1" t="s">
        <v>31</v>
      </c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1">
        <v>1.1001432E7</v>
      </c>
      <c r="B438" s="1" t="s">
        <v>2489</v>
      </c>
      <c r="C438" s="1" t="s">
        <v>51</v>
      </c>
      <c r="D438" s="1" t="s">
        <v>2875</v>
      </c>
      <c r="E438" s="1" t="s">
        <v>3079</v>
      </c>
      <c r="F438" s="1" t="s">
        <v>2877</v>
      </c>
      <c r="G438" s="1" t="s">
        <v>2024</v>
      </c>
      <c r="H438" s="1" t="s">
        <v>412</v>
      </c>
      <c r="I438" s="1" t="s">
        <v>56</v>
      </c>
      <c r="J438" s="1">
        <v>1002.0</v>
      </c>
      <c r="K438" s="1" t="s">
        <v>31</v>
      </c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1">
        <v>1.1001433E7</v>
      </c>
      <c r="B439" s="1" t="s">
        <v>2503</v>
      </c>
      <c r="C439" s="1" t="s">
        <v>51</v>
      </c>
      <c r="D439" s="1" t="s">
        <v>2875</v>
      </c>
      <c r="E439" s="1" t="s">
        <v>3082</v>
      </c>
      <c r="F439" s="1" t="s">
        <v>2877</v>
      </c>
      <c r="G439" s="1" t="s">
        <v>2024</v>
      </c>
      <c r="H439" s="1" t="s">
        <v>412</v>
      </c>
      <c r="I439" s="1" t="s">
        <v>56</v>
      </c>
      <c r="J439" s="1">
        <v>1002.0</v>
      </c>
      <c r="K439" s="1" t="s">
        <v>31</v>
      </c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1">
        <v>1.1001434E7</v>
      </c>
      <c r="B440" s="1" t="s">
        <v>3085</v>
      </c>
      <c r="C440" s="1" t="s">
        <v>51</v>
      </c>
      <c r="D440" s="1" t="s">
        <v>3086</v>
      </c>
      <c r="E440" s="1" t="s">
        <v>3087</v>
      </c>
      <c r="F440" s="1" t="s">
        <v>3089</v>
      </c>
      <c r="G440" s="1" t="s">
        <v>2024</v>
      </c>
      <c r="H440" s="1" t="s">
        <v>412</v>
      </c>
      <c r="I440" s="1" t="s">
        <v>56</v>
      </c>
      <c r="J440" s="1">
        <v>1004.0</v>
      </c>
      <c r="K440" s="1" t="s">
        <v>31</v>
      </c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1">
        <v>1.1001653E7</v>
      </c>
      <c r="B441" s="1" t="s">
        <v>3095</v>
      </c>
      <c r="C441" s="1" t="s">
        <v>51</v>
      </c>
      <c r="D441" s="1" t="s">
        <v>1521</v>
      </c>
      <c r="E441" s="1" t="s">
        <v>3096</v>
      </c>
      <c r="F441" s="1" t="s">
        <v>3097</v>
      </c>
      <c r="G441" s="1" t="s">
        <v>2024</v>
      </c>
      <c r="H441" s="1" t="s">
        <v>55</v>
      </c>
      <c r="I441" s="1" t="s">
        <v>56</v>
      </c>
      <c r="J441" s="1">
        <v>1002.0</v>
      </c>
      <c r="K441" s="1" t="s">
        <v>31</v>
      </c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1">
        <v>1.1001831E7</v>
      </c>
      <c r="B442" s="1" t="s">
        <v>3100</v>
      </c>
      <c r="C442" s="1" t="s">
        <v>51</v>
      </c>
      <c r="D442" s="1" t="s">
        <v>3102</v>
      </c>
      <c r="E442" s="1" t="s">
        <v>31</v>
      </c>
      <c r="F442" s="1" t="s">
        <v>3103</v>
      </c>
      <c r="G442" s="1" t="s">
        <v>2024</v>
      </c>
      <c r="H442" s="1" t="s">
        <v>55</v>
      </c>
      <c r="I442" s="1" t="s">
        <v>56</v>
      </c>
      <c r="J442" s="1">
        <v>1002.0</v>
      </c>
      <c r="K442" s="1" t="s">
        <v>31</v>
      </c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1">
        <v>1.1001832E7</v>
      </c>
      <c r="B443" s="1" t="s">
        <v>3105</v>
      </c>
      <c r="C443" s="1" t="s">
        <v>51</v>
      </c>
      <c r="D443" s="1" t="s">
        <v>3106</v>
      </c>
      <c r="E443" s="1" t="s">
        <v>31</v>
      </c>
      <c r="F443" s="1" t="s">
        <v>3108</v>
      </c>
      <c r="G443" s="1" t="s">
        <v>2024</v>
      </c>
      <c r="H443" s="1" t="s">
        <v>55</v>
      </c>
      <c r="I443" s="1" t="s">
        <v>56</v>
      </c>
      <c r="J443" s="1">
        <v>1002.0</v>
      </c>
      <c r="K443" s="1" t="s">
        <v>31</v>
      </c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1">
        <v>1.1001833E7</v>
      </c>
      <c r="B444" s="1" t="s">
        <v>3111</v>
      </c>
      <c r="C444" s="1" t="s">
        <v>51</v>
      </c>
      <c r="D444" s="1" t="s">
        <v>3113</v>
      </c>
      <c r="E444" s="1" t="s">
        <v>31</v>
      </c>
      <c r="F444" s="1" t="s">
        <v>3114</v>
      </c>
      <c r="G444" s="1" t="s">
        <v>2024</v>
      </c>
      <c r="H444" s="1" t="s">
        <v>55</v>
      </c>
      <c r="I444" s="1" t="s">
        <v>56</v>
      </c>
      <c r="J444" s="1">
        <v>1002.0</v>
      </c>
      <c r="K444" s="1" t="s">
        <v>31</v>
      </c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1">
        <v>1.1001842E7</v>
      </c>
      <c r="B445" s="1" t="s">
        <v>3117</v>
      </c>
      <c r="C445" s="1" t="s">
        <v>51</v>
      </c>
      <c r="D445" s="1" t="s">
        <v>3118</v>
      </c>
      <c r="E445" s="1" t="s">
        <v>3119</v>
      </c>
      <c r="F445" s="1" t="s">
        <v>1753</v>
      </c>
      <c r="G445" s="1" t="s">
        <v>2024</v>
      </c>
      <c r="H445" s="1" t="s">
        <v>412</v>
      </c>
      <c r="I445" s="1" t="s">
        <v>56</v>
      </c>
      <c r="J445" s="1">
        <v>1002.0</v>
      </c>
      <c r="K445" s="1" t="s">
        <v>31</v>
      </c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1">
        <v>1.1001843E7</v>
      </c>
      <c r="B446" s="1" t="s">
        <v>3125</v>
      </c>
      <c r="C446" s="1" t="s">
        <v>51</v>
      </c>
      <c r="D446" s="1" t="s">
        <v>3118</v>
      </c>
      <c r="E446" s="1" t="s">
        <v>3128</v>
      </c>
      <c r="F446" s="1" t="s">
        <v>1753</v>
      </c>
      <c r="G446" s="1" t="s">
        <v>2024</v>
      </c>
      <c r="H446" s="1" t="s">
        <v>412</v>
      </c>
      <c r="I446" s="1" t="s">
        <v>56</v>
      </c>
      <c r="J446" s="1">
        <v>1002.0</v>
      </c>
      <c r="K446" s="1" t="s">
        <v>31</v>
      </c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1">
        <v>1.1001844E7</v>
      </c>
      <c r="B447" s="1" t="s">
        <v>3132</v>
      </c>
      <c r="C447" s="1" t="s">
        <v>51</v>
      </c>
      <c r="D447" s="1" t="s">
        <v>3118</v>
      </c>
      <c r="E447" s="1" t="s">
        <v>3133</v>
      </c>
      <c r="F447" s="1" t="s">
        <v>1753</v>
      </c>
      <c r="G447" s="1" t="s">
        <v>2024</v>
      </c>
      <c r="H447" s="1" t="s">
        <v>412</v>
      </c>
      <c r="I447" s="1" t="s">
        <v>56</v>
      </c>
      <c r="J447" s="1">
        <v>1002.0</v>
      </c>
      <c r="K447" s="1" t="s">
        <v>31</v>
      </c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1">
        <v>1.1001845E7</v>
      </c>
      <c r="B448" s="1" t="s">
        <v>3138</v>
      </c>
      <c r="C448" s="1" t="s">
        <v>51</v>
      </c>
      <c r="D448" s="1" t="s">
        <v>3118</v>
      </c>
      <c r="E448" s="1" t="s">
        <v>3139</v>
      </c>
      <c r="F448" s="1" t="s">
        <v>1753</v>
      </c>
      <c r="G448" s="1" t="s">
        <v>2024</v>
      </c>
      <c r="H448" s="1" t="s">
        <v>412</v>
      </c>
      <c r="I448" s="1" t="s">
        <v>56</v>
      </c>
      <c r="J448" s="1">
        <v>1002.0</v>
      </c>
      <c r="K448" s="1" t="s">
        <v>31</v>
      </c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hidden="1" customHeight="1">
      <c r="A449" s="1">
        <v>2.1000001E7</v>
      </c>
      <c r="B449" s="1" t="s">
        <v>3146</v>
      </c>
      <c r="C449" s="1" t="s">
        <v>51</v>
      </c>
      <c r="D449" s="1" t="s">
        <v>3147</v>
      </c>
      <c r="E449" s="1" t="s">
        <v>3148</v>
      </c>
      <c r="F449" s="1" t="s">
        <v>3149</v>
      </c>
      <c r="G449" s="1" t="s">
        <v>31</v>
      </c>
      <c r="H449" s="1" t="s">
        <v>55</v>
      </c>
      <c r="I449" s="1" t="s">
        <v>3150</v>
      </c>
      <c r="J449" s="1">
        <v>1001.0</v>
      </c>
      <c r="K449" s="1" t="s">
        <v>31</v>
      </c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hidden="1" customHeight="1">
      <c r="A450" s="1">
        <v>2.1000002E7</v>
      </c>
      <c r="B450" s="1" t="s">
        <v>3152</v>
      </c>
      <c r="C450" s="1" t="s">
        <v>51</v>
      </c>
      <c r="D450" s="1" t="s">
        <v>3147</v>
      </c>
      <c r="E450" s="1" t="s">
        <v>3153</v>
      </c>
      <c r="F450" s="1" t="s">
        <v>3149</v>
      </c>
      <c r="G450" s="1" t="s">
        <v>31</v>
      </c>
      <c r="H450" s="1" t="s">
        <v>55</v>
      </c>
      <c r="I450" s="1" t="s">
        <v>3150</v>
      </c>
      <c r="J450" s="1">
        <v>1001.0</v>
      </c>
      <c r="K450" s="1" t="s">
        <v>31</v>
      </c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hidden="1" customHeight="1">
      <c r="A451" s="1">
        <v>2.1000003E7</v>
      </c>
      <c r="B451" s="1" t="s">
        <v>1470</v>
      </c>
      <c r="C451" s="1" t="s">
        <v>51</v>
      </c>
      <c r="D451" s="1" t="s">
        <v>3160</v>
      </c>
      <c r="E451" s="1" t="s">
        <v>3161</v>
      </c>
      <c r="F451" s="1" t="s">
        <v>3163</v>
      </c>
      <c r="G451" s="1" t="s">
        <v>31</v>
      </c>
      <c r="H451" s="1" t="s">
        <v>55</v>
      </c>
      <c r="I451" s="1" t="s">
        <v>3150</v>
      </c>
      <c r="J451" s="1">
        <v>1001.0</v>
      </c>
      <c r="K451" s="1" t="s">
        <v>31</v>
      </c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hidden="1" customHeight="1">
      <c r="A452" s="1">
        <v>2.1000035E7</v>
      </c>
      <c r="B452" s="1" t="s">
        <v>3167</v>
      </c>
      <c r="C452" s="1" t="s">
        <v>51</v>
      </c>
      <c r="D452" s="1" t="s">
        <v>3168</v>
      </c>
      <c r="E452" s="1" t="s">
        <v>3169</v>
      </c>
      <c r="F452" s="1" t="s">
        <v>3170</v>
      </c>
      <c r="G452" s="1" t="s">
        <v>31</v>
      </c>
      <c r="H452" s="1" t="s">
        <v>55</v>
      </c>
      <c r="I452" s="1" t="s">
        <v>3150</v>
      </c>
      <c r="J452" s="1">
        <v>1001.0</v>
      </c>
      <c r="K452" s="1" t="s">
        <v>31</v>
      </c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hidden="1" customHeight="1">
      <c r="A453" s="1">
        <v>2.1000037E7</v>
      </c>
      <c r="B453" s="1" t="s">
        <v>1853</v>
      </c>
      <c r="C453" s="1" t="s">
        <v>51</v>
      </c>
      <c r="D453" s="1" t="s">
        <v>3160</v>
      </c>
      <c r="E453" s="1" t="s">
        <v>3178</v>
      </c>
      <c r="F453" s="1" t="s">
        <v>3179</v>
      </c>
      <c r="G453" s="1" t="s">
        <v>31</v>
      </c>
      <c r="H453" s="1" t="s">
        <v>55</v>
      </c>
      <c r="I453" s="1" t="s">
        <v>3150</v>
      </c>
      <c r="J453" s="1">
        <v>1001.0</v>
      </c>
      <c r="K453" s="1" t="s">
        <v>31</v>
      </c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hidden="1" customHeight="1">
      <c r="A454" s="1">
        <v>2.1000042E7</v>
      </c>
      <c r="B454" s="1" t="s">
        <v>3182</v>
      </c>
      <c r="C454" s="1" t="s">
        <v>51</v>
      </c>
      <c r="D454" s="1" t="s">
        <v>3183</v>
      </c>
      <c r="E454" s="1" t="s">
        <v>3184</v>
      </c>
      <c r="F454" s="1" t="s">
        <v>3185</v>
      </c>
      <c r="G454" s="1" t="s">
        <v>31</v>
      </c>
      <c r="H454" s="1" t="s">
        <v>55</v>
      </c>
      <c r="I454" s="1" t="s">
        <v>3150</v>
      </c>
      <c r="J454" s="1">
        <v>1001.0</v>
      </c>
      <c r="K454" s="1" t="s">
        <v>31</v>
      </c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hidden="1" customHeight="1">
      <c r="A455" s="1">
        <v>2.1000073E7</v>
      </c>
      <c r="B455" s="1" t="s">
        <v>3190</v>
      </c>
      <c r="C455" s="1" t="s">
        <v>51</v>
      </c>
      <c r="D455" s="1" t="s">
        <v>3191</v>
      </c>
      <c r="E455" s="1" t="s">
        <v>3193</v>
      </c>
      <c r="F455" s="1" t="s">
        <v>3194</v>
      </c>
      <c r="G455" s="1" t="s">
        <v>31</v>
      </c>
      <c r="H455" s="1" t="s">
        <v>55</v>
      </c>
      <c r="I455" s="1" t="s">
        <v>3150</v>
      </c>
      <c r="J455" s="1">
        <v>1001.0</v>
      </c>
      <c r="K455" s="1" t="s">
        <v>31</v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hidden="1" customHeight="1">
      <c r="A456" s="1">
        <v>2.1000082E7</v>
      </c>
      <c r="B456" s="1" t="s">
        <v>1325</v>
      </c>
      <c r="C456" s="1" t="s">
        <v>51</v>
      </c>
      <c r="D456" s="1" t="s">
        <v>3168</v>
      </c>
      <c r="E456" s="1" t="s">
        <v>3196</v>
      </c>
      <c r="F456" s="1" t="s">
        <v>3197</v>
      </c>
      <c r="G456" s="1" t="s">
        <v>31</v>
      </c>
      <c r="H456" s="1" t="s">
        <v>55</v>
      </c>
      <c r="I456" s="1" t="s">
        <v>3150</v>
      </c>
      <c r="J456" s="1">
        <v>2501.0</v>
      </c>
      <c r="K456" s="1" t="s">
        <v>31</v>
      </c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hidden="1" customHeight="1">
      <c r="A457" s="1">
        <v>2.1000083E7</v>
      </c>
      <c r="B457" s="1" t="s">
        <v>2254</v>
      </c>
      <c r="C457" s="1" t="s">
        <v>51</v>
      </c>
      <c r="D457" s="1" t="s">
        <v>3168</v>
      </c>
      <c r="E457" s="1" t="s">
        <v>3207</v>
      </c>
      <c r="F457" s="1" t="s">
        <v>3197</v>
      </c>
      <c r="G457" s="1" t="s">
        <v>31</v>
      </c>
      <c r="H457" s="1" t="s">
        <v>55</v>
      </c>
      <c r="I457" s="1" t="s">
        <v>3150</v>
      </c>
      <c r="J457" s="1">
        <v>2501.0</v>
      </c>
      <c r="K457" s="1" t="s">
        <v>31</v>
      </c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hidden="1" customHeight="1">
      <c r="A458" s="1">
        <v>2.1000084E7</v>
      </c>
      <c r="B458" s="1" t="s">
        <v>1470</v>
      </c>
      <c r="C458" s="1" t="s">
        <v>51</v>
      </c>
      <c r="D458" s="1" t="s">
        <v>3168</v>
      </c>
      <c r="E458" s="1" t="s">
        <v>3210</v>
      </c>
      <c r="F458" s="1" t="s">
        <v>3211</v>
      </c>
      <c r="G458" s="1" t="s">
        <v>31</v>
      </c>
      <c r="H458" s="1" t="s">
        <v>55</v>
      </c>
      <c r="I458" s="1" t="s">
        <v>3150</v>
      </c>
      <c r="J458" s="1">
        <v>2501.0</v>
      </c>
      <c r="K458" s="1" t="s">
        <v>31</v>
      </c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hidden="1" customHeight="1">
      <c r="A459" s="1">
        <v>2.1000085E7</v>
      </c>
      <c r="B459" s="1" t="s">
        <v>1029</v>
      </c>
      <c r="C459" s="1" t="s">
        <v>51</v>
      </c>
      <c r="D459" s="1" t="s">
        <v>3215</v>
      </c>
      <c r="E459" s="1" t="s">
        <v>31</v>
      </c>
      <c r="F459" s="1" t="s">
        <v>3217</v>
      </c>
      <c r="G459" s="1" t="s">
        <v>31</v>
      </c>
      <c r="H459" s="1" t="s">
        <v>55</v>
      </c>
      <c r="I459" s="1" t="s">
        <v>3150</v>
      </c>
      <c r="J459" s="1">
        <v>2501.0</v>
      </c>
      <c r="K459" s="1" t="s">
        <v>31</v>
      </c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hidden="1" customHeight="1">
      <c r="A460" s="1">
        <v>2.1000086E7</v>
      </c>
      <c r="B460" s="1" t="s">
        <v>2264</v>
      </c>
      <c r="C460" s="1" t="s">
        <v>51</v>
      </c>
      <c r="D460" s="1" t="s">
        <v>3215</v>
      </c>
      <c r="E460" s="1" t="s">
        <v>31</v>
      </c>
      <c r="F460" s="1" t="s">
        <v>3217</v>
      </c>
      <c r="G460" s="1" t="s">
        <v>31</v>
      </c>
      <c r="H460" s="1" t="s">
        <v>55</v>
      </c>
      <c r="I460" s="1" t="s">
        <v>3150</v>
      </c>
      <c r="J460" s="1">
        <v>2501.0</v>
      </c>
      <c r="K460" s="1" t="s">
        <v>31</v>
      </c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hidden="1" customHeight="1">
      <c r="A461" s="1">
        <v>2.1000087E7</v>
      </c>
      <c r="B461" s="1" t="s">
        <v>2887</v>
      </c>
      <c r="C461" s="1" t="s">
        <v>51</v>
      </c>
      <c r="D461" s="1" t="s">
        <v>3215</v>
      </c>
      <c r="E461" s="1" t="s">
        <v>31</v>
      </c>
      <c r="F461" s="1" t="s">
        <v>3217</v>
      </c>
      <c r="G461" s="1" t="s">
        <v>31</v>
      </c>
      <c r="H461" s="1" t="s">
        <v>55</v>
      </c>
      <c r="I461" s="1" t="s">
        <v>3150</v>
      </c>
      <c r="J461" s="1">
        <v>2501.0</v>
      </c>
      <c r="K461" s="1" t="s">
        <v>31</v>
      </c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hidden="1" customHeight="1">
      <c r="A462" s="1">
        <v>2.1000088E7</v>
      </c>
      <c r="B462" s="1" t="s">
        <v>3228</v>
      </c>
      <c r="C462" s="1" t="s">
        <v>51</v>
      </c>
      <c r="D462" s="1" t="s">
        <v>3215</v>
      </c>
      <c r="E462" s="1" t="s">
        <v>31</v>
      </c>
      <c r="F462" s="1" t="s">
        <v>3217</v>
      </c>
      <c r="G462" s="1" t="s">
        <v>31</v>
      </c>
      <c r="H462" s="1" t="s">
        <v>55</v>
      </c>
      <c r="I462" s="1" t="s">
        <v>3150</v>
      </c>
      <c r="J462" s="1">
        <v>2501.0</v>
      </c>
      <c r="K462" s="1" t="s">
        <v>31</v>
      </c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hidden="1" customHeight="1">
      <c r="A463" s="1">
        <v>2.1000102E7</v>
      </c>
      <c r="B463" s="1" t="s">
        <v>1049</v>
      </c>
      <c r="C463" s="1" t="s">
        <v>51</v>
      </c>
      <c r="D463" s="1" t="s">
        <v>3215</v>
      </c>
      <c r="E463" s="1" t="s">
        <v>31</v>
      </c>
      <c r="F463" s="1" t="s">
        <v>3217</v>
      </c>
      <c r="G463" s="1" t="s">
        <v>31</v>
      </c>
      <c r="H463" s="1" t="s">
        <v>55</v>
      </c>
      <c r="I463" s="1" t="s">
        <v>3150</v>
      </c>
      <c r="J463" s="1">
        <v>2501.0</v>
      </c>
      <c r="K463" s="1" t="s">
        <v>31</v>
      </c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hidden="1" customHeight="1">
      <c r="A464" s="1">
        <v>2.1000103E7</v>
      </c>
      <c r="B464" s="1" t="s">
        <v>2273</v>
      </c>
      <c r="C464" s="1" t="s">
        <v>51</v>
      </c>
      <c r="D464" s="1" t="s">
        <v>3215</v>
      </c>
      <c r="E464" s="1" t="s">
        <v>31</v>
      </c>
      <c r="F464" s="1" t="s">
        <v>3217</v>
      </c>
      <c r="G464" s="1" t="s">
        <v>31</v>
      </c>
      <c r="H464" s="1" t="s">
        <v>55</v>
      </c>
      <c r="I464" s="1" t="s">
        <v>3150</v>
      </c>
      <c r="J464" s="1">
        <v>2501.0</v>
      </c>
      <c r="K464" s="1" t="s">
        <v>31</v>
      </c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hidden="1" customHeight="1">
      <c r="A465" s="1">
        <v>2.1000104E7</v>
      </c>
      <c r="B465" s="1" t="s">
        <v>2900</v>
      </c>
      <c r="C465" s="1" t="s">
        <v>51</v>
      </c>
      <c r="D465" s="1" t="s">
        <v>3215</v>
      </c>
      <c r="E465" s="1" t="s">
        <v>31</v>
      </c>
      <c r="F465" s="1" t="s">
        <v>3217</v>
      </c>
      <c r="G465" s="1" t="s">
        <v>31</v>
      </c>
      <c r="H465" s="1" t="s">
        <v>55</v>
      </c>
      <c r="I465" s="1" t="s">
        <v>3150</v>
      </c>
      <c r="J465" s="1">
        <v>2501.0</v>
      </c>
      <c r="K465" s="1" t="s">
        <v>31</v>
      </c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hidden="1" customHeight="1">
      <c r="A466" s="1">
        <v>2.1000105E7</v>
      </c>
      <c r="B466" s="1" t="s">
        <v>3242</v>
      </c>
      <c r="C466" s="1" t="s">
        <v>51</v>
      </c>
      <c r="D466" s="1" t="s">
        <v>3215</v>
      </c>
      <c r="E466" s="1" t="s">
        <v>31</v>
      </c>
      <c r="F466" s="1" t="s">
        <v>3217</v>
      </c>
      <c r="G466" s="1" t="s">
        <v>31</v>
      </c>
      <c r="H466" s="1" t="s">
        <v>55</v>
      </c>
      <c r="I466" s="1" t="s">
        <v>3150</v>
      </c>
      <c r="J466" s="1">
        <v>2501.0</v>
      </c>
      <c r="K466" s="1" t="s">
        <v>31</v>
      </c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hidden="1" customHeight="1">
      <c r="A467" s="1">
        <v>2.1000123E7</v>
      </c>
      <c r="B467" s="1" t="s">
        <v>2277</v>
      </c>
      <c r="C467" s="1" t="s">
        <v>51</v>
      </c>
      <c r="D467" s="1" t="s">
        <v>87</v>
      </c>
      <c r="E467" s="1" t="s">
        <v>31</v>
      </c>
      <c r="F467" s="1" t="s">
        <v>3248</v>
      </c>
      <c r="G467" s="1" t="s">
        <v>31</v>
      </c>
      <c r="H467" s="1" t="s">
        <v>55</v>
      </c>
      <c r="I467" s="1" t="s">
        <v>3150</v>
      </c>
      <c r="J467" s="1">
        <v>2501.0</v>
      </c>
      <c r="K467" s="1" t="s">
        <v>31</v>
      </c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1">
        <v>2.1000134E7</v>
      </c>
      <c r="B468" s="1" t="s">
        <v>3251</v>
      </c>
      <c r="C468" s="1" t="s">
        <v>51</v>
      </c>
      <c r="D468" s="1" t="s">
        <v>3252</v>
      </c>
      <c r="E468" s="1" t="s">
        <v>3253</v>
      </c>
      <c r="F468" s="1" t="s">
        <v>3255</v>
      </c>
      <c r="G468" s="1" t="s">
        <v>31</v>
      </c>
      <c r="H468" s="1" t="s">
        <v>55</v>
      </c>
      <c r="I468" s="1" t="s">
        <v>56</v>
      </c>
      <c r="J468" s="1">
        <v>1501.0</v>
      </c>
      <c r="K468" s="1" t="s">
        <v>31</v>
      </c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1">
        <v>2.1000135E7</v>
      </c>
      <c r="B469" s="1" t="s">
        <v>3259</v>
      </c>
      <c r="C469" s="1" t="s">
        <v>51</v>
      </c>
      <c r="D469" s="1" t="s">
        <v>3252</v>
      </c>
      <c r="E469" s="1" t="s">
        <v>3260</v>
      </c>
      <c r="F469" s="1" t="s">
        <v>3255</v>
      </c>
      <c r="G469" s="1" t="s">
        <v>31</v>
      </c>
      <c r="H469" s="1" t="s">
        <v>55</v>
      </c>
      <c r="I469" s="1" t="s">
        <v>56</v>
      </c>
      <c r="J469" s="1">
        <v>1501.0</v>
      </c>
      <c r="K469" s="1" t="s">
        <v>31</v>
      </c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1">
        <v>2.1000136E7</v>
      </c>
      <c r="B470" s="1" t="s">
        <v>3262</v>
      </c>
      <c r="C470" s="1" t="s">
        <v>51</v>
      </c>
      <c r="D470" s="1" t="s">
        <v>3252</v>
      </c>
      <c r="E470" s="1" t="s">
        <v>3263</v>
      </c>
      <c r="F470" s="1" t="s">
        <v>3255</v>
      </c>
      <c r="G470" s="1" t="s">
        <v>31</v>
      </c>
      <c r="H470" s="1" t="s">
        <v>55</v>
      </c>
      <c r="I470" s="1" t="s">
        <v>56</v>
      </c>
      <c r="J470" s="1">
        <v>1501.0</v>
      </c>
      <c r="K470" s="1" t="s">
        <v>31</v>
      </c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hidden="1" customHeight="1">
      <c r="A471" s="1">
        <v>2.1000184E7</v>
      </c>
      <c r="B471" s="1" t="s">
        <v>1196</v>
      </c>
      <c r="C471" s="1" t="s">
        <v>51</v>
      </c>
      <c r="D471" s="1" t="s">
        <v>3168</v>
      </c>
      <c r="E471" s="1" t="s">
        <v>3271</v>
      </c>
      <c r="F471" s="1" t="s">
        <v>3272</v>
      </c>
      <c r="G471" s="1" t="s">
        <v>31</v>
      </c>
      <c r="H471" s="1" t="s">
        <v>55</v>
      </c>
      <c r="I471" s="1" t="s">
        <v>3150</v>
      </c>
      <c r="J471" s="1">
        <v>1501.0</v>
      </c>
      <c r="K471" s="1" t="s">
        <v>31</v>
      </c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hidden="1" customHeight="1">
      <c r="A472" s="1">
        <v>2.1000185E7</v>
      </c>
      <c r="B472" s="1" t="s">
        <v>1059</v>
      </c>
      <c r="C472" s="1" t="s">
        <v>51</v>
      </c>
      <c r="D472" s="1" t="s">
        <v>3168</v>
      </c>
      <c r="E472" s="1" t="s">
        <v>3274</v>
      </c>
      <c r="F472" s="1" t="s">
        <v>3272</v>
      </c>
      <c r="G472" s="1" t="s">
        <v>31</v>
      </c>
      <c r="H472" s="1" t="s">
        <v>55</v>
      </c>
      <c r="I472" s="1" t="s">
        <v>3150</v>
      </c>
      <c r="J472" s="1">
        <v>1501.0</v>
      </c>
      <c r="K472" s="1" t="s">
        <v>31</v>
      </c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hidden="1" customHeight="1">
      <c r="A473" s="1">
        <v>2.1000356E7</v>
      </c>
      <c r="B473" s="1" t="s">
        <v>3282</v>
      </c>
      <c r="C473" s="1" t="s">
        <v>51</v>
      </c>
      <c r="D473" s="1" t="s">
        <v>3283</v>
      </c>
      <c r="E473" s="1" t="s">
        <v>3284</v>
      </c>
      <c r="F473" s="1" t="s">
        <v>3285</v>
      </c>
      <c r="G473" s="1" t="s">
        <v>369</v>
      </c>
      <c r="H473" s="1" t="s">
        <v>55</v>
      </c>
      <c r="I473" s="1" t="s">
        <v>3150</v>
      </c>
      <c r="J473" s="1">
        <v>2001.0</v>
      </c>
      <c r="K473" s="1" t="s">
        <v>31</v>
      </c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hidden="1" customHeight="1">
      <c r="A474" s="1">
        <v>2.1000357E7</v>
      </c>
      <c r="B474" s="1" t="s">
        <v>3289</v>
      </c>
      <c r="C474" s="1" t="s">
        <v>51</v>
      </c>
      <c r="D474" s="1" t="s">
        <v>3283</v>
      </c>
      <c r="E474" s="1" t="s">
        <v>3290</v>
      </c>
      <c r="F474" s="1" t="s">
        <v>3285</v>
      </c>
      <c r="G474" s="1" t="s">
        <v>369</v>
      </c>
      <c r="H474" s="1" t="s">
        <v>55</v>
      </c>
      <c r="I474" s="1" t="s">
        <v>3150</v>
      </c>
      <c r="J474" s="1">
        <v>2001.0</v>
      </c>
      <c r="K474" s="1" t="s">
        <v>31</v>
      </c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hidden="1" customHeight="1">
      <c r="A475" s="1">
        <v>2.1000358E7</v>
      </c>
      <c r="B475" s="1" t="s">
        <v>3298</v>
      </c>
      <c r="C475" s="1" t="s">
        <v>51</v>
      </c>
      <c r="D475" s="1" t="s">
        <v>3283</v>
      </c>
      <c r="E475" s="1" t="s">
        <v>3300</v>
      </c>
      <c r="F475" s="1" t="s">
        <v>3285</v>
      </c>
      <c r="G475" s="1" t="s">
        <v>369</v>
      </c>
      <c r="H475" s="1" t="s">
        <v>55</v>
      </c>
      <c r="I475" s="1" t="s">
        <v>3150</v>
      </c>
      <c r="J475" s="1">
        <v>2001.0</v>
      </c>
      <c r="K475" s="1" t="s">
        <v>31</v>
      </c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hidden="1" customHeight="1">
      <c r="A476" s="1">
        <v>2.1000359E7</v>
      </c>
      <c r="B476" s="1" t="s">
        <v>3303</v>
      </c>
      <c r="C476" s="1" t="s">
        <v>51</v>
      </c>
      <c r="D476" s="1" t="s">
        <v>3283</v>
      </c>
      <c r="E476" s="1" t="s">
        <v>3307</v>
      </c>
      <c r="F476" s="1" t="s">
        <v>3285</v>
      </c>
      <c r="G476" s="1" t="s">
        <v>369</v>
      </c>
      <c r="H476" s="1" t="s">
        <v>55</v>
      </c>
      <c r="I476" s="1" t="s">
        <v>3150</v>
      </c>
      <c r="J476" s="1">
        <v>2001.0</v>
      </c>
      <c r="K476" s="1" t="s">
        <v>31</v>
      </c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hidden="1" customHeight="1">
      <c r="A477" s="1">
        <v>2.100036E7</v>
      </c>
      <c r="B477" s="1" t="s">
        <v>3313</v>
      </c>
      <c r="C477" s="1" t="s">
        <v>51</v>
      </c>
      <c r="D477" s="1" t="s">
        <v>3283</v>
      </c>
      <c r="E477" s="1" t="s">
        <v>3314</v>
      </c>
      <c r="F477" s="1" t="s">
        <v>3285</v>
      </c>
      <c r="G477" s="1" t="s">
        <v>369</v>
      </c>
      <c r="H477" s="1" t="s">
        <v>55</v>
      </c>
      <c r="I477" s="1" t="s">
        <v>3150</v>
      </c>
      <c r="J477" s="1">
        <v>2001.0</v>
      </c>
      <c r="K477" s="1" t="s">
        <v>31</v>
      </c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hidden="1" customHeight="1">
      <c r="A478" s="1">
        <v>2.1000361E7</v>
      </c>
      <c r="B478" s="1" t="s">
        <v>3316</v>
      </c>
      <c r="C478" s="1" t="s">
        <v>51</v>
      </c>
      <c r="D478" s="1" t="s">
        <v>3283</v>
      </c>
      <c r="E478" s="1" t="s">
        <v>3318</v>
      </c>
      <c r="F478" s="1" t="s">
        <v>3285</v>
      </c>
      <c r="G478" s="1" t="s">
        <v>369</v>
      </c>
      <c r="H478" s="1" t="s">
        <v>55</v>
      </c>
      <c r="I478" s="1" t="s">
        <v>3150</v>
      </c>
      <c r="J478" s="1">
        <v>2001.0</v>
      </c>
      <c r="K478" s="1" t="s">
        <v>31</v>
      </c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hidden="1" customHeight="1">
      <c r="A479" s="1">
        <v>2.1000362E7</v>
      </c>
      <c r="B479" s="1" t="s">
        <v>1325</v>
      </c>
      <c r="C479" s="1" t="s">
        <v>51</v>
      </c>
      <c r="D479" s="1" t="s">
        <v>3168</v>
      </c>
      <c r="E479" s="1" t="s">
        <v>3327</v>
      </c>
      <c r="F479" s="1" t="s">
        <v>3328</v>
      </c>
      <c r="G479" s="1" t="s">
        <v>369</v>
      </c>
      <c r="H479" s="1" t="s">
        <v>55</v>
      </c>
      <c r="I479" s="1" t="s">
        <v>3150</v>
      </c>
      <c r="J479" s="1">
        <v>2001.0</v>
      </c>
      <c r="K479" s="1" t="s">
        <v>31</v>
      </c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hidden="1" customHeight="1">
      <c r="A480" s="1">
        <v>2.1000363E7</v>
      </c>
      <c r="B480" s="1" t="s">
        <v>2254</v>
      </c>
      <c r="C480" s="1" t="s">
        <v>51</v>
      </c>
      <c r="D480" s="1" t="s">
        <v>3168</v>
      </c>
      <c r="E480" s="1" t="s">
        <v>3329</v>
      </c>
      <c r="F480" s="1" t="s">
        <v>3328</v>
      </c>
      <c r="G480" s="1" t="s">
        <v>369</v>
      </c>
      <c r="H480" s="1" t="s">
        <v>55</v>
      </c>
      <c r="I480" s="1" t="s">
        <v>3150</v>
      </c>
      <c r="J480" s="1">
        <v>2001.0</v>
      </c>
      <c r="K480" s="1" t="s">
        <v>31</v>
      </c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hidden="1" customHeight="1">
      <c r="A481" s="1">
        <v>2.1000364E7</v>
      </c>
      <c r="B481" s="1" t="s">
        <v>2403</v>
      </c>
      <c r="C481" s="1" t="s">
        <v>51</v>
      </c>
      <c r="D481" s="1" t="s">
        <v>3337</v>
      </c>
      <c r="E481" s="1" t="s">
        <v>3338</v>
      </c>
      <c r="F481" s="1" t="s">
        <v>31</v>
      </c>
      <c r="G481" s="1" t="s">
        <v>369</v>
      </c>
      <c r="H481" s="1" t="s">
        <v>55</v>
      </c>
      <c r="I481" s="1" t="s">
        <v>3150</v>
      </c>
      <c r="J481" s="1">
        <v>2001.0</v>
      </c>
      <c r="K481" s="1" t="s">
        <v>31</v>
      </c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hidden="1" customHeight="1">
      <c r="A482" s="1">
        <v>2.1000438E7</v>
      </c>
      <c r="B482" s="1" t="s">
        <v>3339</v>
      </c>
      <c r="C482" s="1" t="s">
        <v>51</v>
      </c>
      <c r="D482" s="1" t="s">
        <v>3340</v>
      </c>
      <c r="E482" s="1" t="s">
        <v>31</v>
      </c>
      <c r="F482" s="1" t="s">
        <v>31</v>
      </c>
      <c r="G482" s="1" t="s">
        <v>369</v>
      </c>
      <c r="H482" s="1" t="s">
        <v>55</v>
      </c>
      <c r="I482" s="1" t="s">
        <v>3150</v>
      </c>
      <c r="J482" s="1">
        <v>2001.0</v>
      </c>
      <c r="K482" s="1" t="s">
        <v>31</v>
      </c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hidden="1" customHeight="1">
      <c r="A483" s="1">
        <v>2.1000439E7</v>
      </c>
      <c r="B483" s="1" t="s">
        <v>3347</v>
      </c>
      <c r="C483" s="1" t="s">
        <v>51</v>
      </c>
      <c r="D483" s="1" t="s">
        <v>3340</v>
      </c>
      <c r="E483" s="1" t="s">
        <v>31</v>
      </c>
      <c r="F483" s="1" t="s">
        <v>31</v>
      </c>
      <c r="G483" s="1" t="s">
        <v>369</v>
      </c>
      <c r="H483" s="1" t="s">
        <v>55</v>
      </c>
      <c r="I483" s="1" t="s">
        <v>3150</v>
      </c>
      <c r="J483" s="1">
        <v>2001.0</v>
      </c>
      <c r="K483" s="1" t="s">
        <v>31</v>
      </c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hidden="1" customHeight="1">
      <c r="A484" s="1">
        <v>2.100044E7</v>
      </c>
      <c r="B484" s="1" t="s">
        <v>3352</v>
      </c>
      <c r="C484" s="1" t="s">
        <v>51</v>
      </c>
      <c r="D484" s="1" t="s">
        <v>3353</v>
      </c>
      <c r="E484" s="1" t="s">
        <v>31</v>
      </c>
      <c r="F484" s="1" t="s">
        <v>31</v>
      </c>
      <c r="G484" s="1" t="s">
        <v>369</v>
      </c>
      <c r="H484" s="1" t="s">
        <v>55</v>
      </c>
      <c r="I484" s="1" t="s">
        <v>3150</v>
      </c>
      <c r="J484" s="1">
        <v>2001.0</v>
      </c>
      <c r="K484" s="1" t="s">
        <v>31</v>
      </c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hidden="1" customHeight="1">
      <c r="A485" s="1">
        <v>2.1000442E7</v>
      </c>
      <c r="B485" s="1" t="s">
        <v>3360</v>
      </c>
      <c r="C485" s="1" t="s">
        <v>51</v>
      </c>
      <c r="D485" s="1" t="s">
        <v>2083</v>
      </c>
      <c r="E485" s="1" t="s">
        <v>31</v>
      </c>
      <c r="F485" s="1" t="s">
        <v>31</v>
      </c>
      <c r="G485" s="1" t="s">
        <v>369</v>
      </c>
      <c r="H485" s="1" t="s">
        <v>55</v>
      </c>
      <c r="I485" s="1" t="s">
        <v>3150</v>
      </c>
      <c r="J485" s="1">
        <v>2001.0</v>
      </c>
      <c r="K485" s="1" t="s">
        <v>31</v>
      </c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hidden="1" customHeight="1">
      <c r="A486" s="1">
        <v>2.1000444E7</v>
      </c>
      <c r="B486" s="1" t="s">
        <v>3362</v>
      </c>
      <c r="C486" s="1" t="s">
        <v>51</v>
      </c>
      <c r="D486" s="1" t="s">
        <v>3363</v>
      </c>
      <c r="E486" s="1" t="s">
        <v>31</v>
      </c>
      <c r="F486" s="1" t="s">
        <v>31</v>
      </c>
      <c r="G486" s="1" t="s">
        <v>369</v>
      </c>
      <c r="H486" s="1" t="s">
        <v>55</v>
      </c>
      <c r="I486" s="1" t="s">
        <v>3150</v>
      </c>
      <c r="J486" s="1">
        <v>2001.0</v>
      </c>
      <c r="K486" s="1" t="s">
        <v>31</v>
      </c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hidden="1" customHeight="1">
      <c r="A487" s="1">
        <v>2.1000445E7</v>
      </c>
      <c r="B487" s="1" t="s">
        <v>3370</v>
      </c>
      <c r="C487" s="1" t="s">
        <v>51</v>
      </c>
      <c r="D487" s="1" t="s">
        <v>3363</v>
      </c>
      <c r="E487" s="1" t="s">
        <v>31</v>
      </c>
      <c r="F487" s="1" t="s">
        <v>31</v>
      </c>
      <c r="G487" s="1" t="s">
        <v>369</v>
      </c>
      <c r="H487" s="1" t="s">
        <v>55</v>
      </c>
      <c r="I487" s="1" t="s">
        <v>3150</v>
      </c>
      <c r="J487" s="1">
        <v>2001.0</v>
      </c>
      <c r="K487" s="1" t="s">
        <v>31</v>
      </c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hidden="1" customHeight="1">
      <c r="A488" s="1">
        <v>2.1000448E7</v>
      </c>
      <c r="B488" s="1" t="s">
        <v>3372</v>
      </c>
      <c r="C488" s="1" t="s">
        <v>51</v>
      </c>
      <c r="D488" s="1" t="s">
        <v>31</v>
      </c>
      <c r="E488" s="1" t="s">
        <v>31</v>
      </c>
      <c r="F488" s="1" t="s">
        <v>31</v>
      </c>
      <c r="G488" s="1" t="s">
        <v>369</v>
      </c>
      <c r="H488" s="1" t="s">
        <v>55</v>
      </c>
      <c r="I488" s="1" t="s">
        <v>3150</v>
      </c>
      <c r="J488" s="1">
        <v>2001.0</v>
      </c>
      <c r="K488" s="1" t="s">
        <v>31</v>
      </c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hidden="1" customHeight="1">
      <c r="A489" s="1">
        <v>2.100045E7</v>
      </c>
      <c r="B489" s="1" t="s">
        <v>3381</v>
      </c>
      <c r="C489" s="1" t="s">
        <v>51</v>
      </c>
      <c r="D489" s="1" t="s">
        <v>3383</v>
      </c>
      <c r="E489" s="1" t="s">
        <v>31</v>
      </c>
      <c r="F489" s="1" t="s">
        <v>31</v>
      </c>
      <c r="G489" s="1" t="s">
        <v>369</v>
      </c>
      <c r="H489" s="1" t="s">
        <v>55</v>
      </c>
      <c r="I489" s="1" t="s">
        <v>3150</v>
      </c>
      <c r="J489" s="1">
        <v>2001.0</v>
      </c>
      <c r="K489" s="1" t="s">
        <v>31</v>
      </c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hidden="1" customHeight="1">
      <c r="A490" s="1">
        <v>2.1000452E7</v>
      </c>
      <c r="B490" s="1" t="s">
        <v>3385</v>
      </c>
      <c r="C490" s="1" t="s">
        <v>51</v>
      </c>
      <c r="D490" s="1" t="s">
        <v>3353</v>
      </c>
      <c r="E490" s="1" t="s">
        <v>31</v>
      </c>
      <c r="F490" s="1" t="s">
        <v>31</v>
      </c>
      <c r="G490" s="1" t="s">
        <v>369</v>
      </c>
      <c r="H490" s="1" t="s">
        <v>55</v>
      </c>
      <c r="I490" s="1" t="s">
        <v>3150</v>
      </c>
      <c r="J490" s="1">
        <v>2001.0</v>
      </c>
      <c r="K490" s="1" t="s">
        <v>31</v>
      </c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hidden="1" customHeight="1">
      <c r="A491" s="1">
        <v>2.1000453E7</v>
      </c>
      <c r="B491" s="1" t="s">
        <v>3395</v>
      </c>
      <c r="C491" s="1" t="s">
        <v>51</v>
      </c>
      <c r="D491" s="1" t="s">
        <v>3353</v>
      </c>
      <c r="E491" s="1" t="s">
        <v>31</v>
      </c>
      <c r="F491" s="1" t="s">
        <v>31</v>
      </c>
      <c r="G491" s="1" t="s">
        <v>369</v>
      </c>
      <c r="H491" s="1" t="s">
        <v>55</v>
      </c>
      <c r="I491" s="1" t="s">
        <v>3150</v>
      </c>
      <c r="J491" s="1">
        <v>2001.0</v>
      </c>
      <c r="K491" s="1" t="s">
        <v>31</v>
      </c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hidden="1" customHeight="1">
      <c r="A492" s="1">
        <v>2.1000454E7</v>
      </c>
      <c r="B492" s="1" t="s">
        <v>3397</v>
      </c>
      <c r="C492" s="1" t="s">
        <v>51</v>
      </c>
      <c r="D492" s="1" t="s">
        <v>3353</v>
      </c>
      <c r="E492" s="1" t="s">
        <v>31</v>
      </c>
      <c r="F492" s="1" t="s">
        <v>31</v>
      </c>
      <c r="G492" s="1" t="s">
        <v>369</v>
      </c>
      <c r="H492" s="1" t="s">
        <v>55</v>
      </c>
      <c r="I492" s="1" t="s">
        <v>3150</v>
      </c>
      <c r="J492" s="1">
        <v>2001.0</v>
      </c>
      <c r="K492" s="1" t="s">
        <v>31</v>
      </c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hidden="1" customHeight="1">
      <c r="A493" s="1">
        <v>2.1000455E7</v>
      </c>
      <c r="B493" s="1" t="s">
        <v>3405</v>
      </c>
      <c r="C493" s="1" t="s">
        <v>51</v>
      </c>
      <c r="D493" s="1" t="s">
        <v>2211</v>
      </c>
      <c r="E493" s="1" t="s">
        <v>31</v>
      </c>
      <c r="F493" s="1" t="s">
        <v>31</v>
      </c>
      <c r="G493" s="1" t="s">
        <v>369</v>
      </c>
      <c r="H493" s="1" t="s">
        <v>55</v>
      </c>
      <c r="I493" s="1" t="s">
        <v>3150</v>
      </c>
      <c r="J493" s="1">
        <v>2001.0</v>
      </c>
      <c r="K493" s="1" t="s">
        <v>31</v>
      </c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hidden="1" customHeight="1">
      <c r="A494" s="1">
        <v>2.1000456E7</v>
      </c>
      <c r="B494" s="1" t="s">
        <v>3413</v>
      </c>
      <c r="C494" s="1" t="s">
        <v>51</v>
      </c>
      <c r="D494" s="1" t="s">
        <v>3168</v>
      </c>
      <c r="E494" s="1" t="s">
        <v>31</v>
      </c>
      <c r="F494" s="1" t="s">
        <v>3417</v>
      </c>
      <c r="G494" s="1" t="s">
        <v>369</v>
      </c>
      <c r="H494" s="1" t="s">
        <v>55</v>
      </c>
      <c r="I494" s="1" t="s">
        <v>3150</v>
      </c>
      <c r="J494" s="1">
        <v>2001.0</v>
      </c>
      <c r="K494" s="1" t="s">
        <v>31</v>
      </c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hidden="1" customHeight="1">
      <c r="A495" s="1">
        <v>2.1000458E7</v>
      </c>
      <c r="B495" s="1" t="s">
        <v>3423</v>
      </c>
      <c r="C495" s="1" t="s">
        <v>51</v>
      </c>
      <c r="D495" s="1" t="s">
        <v>3424</v>
      </c>
      <c r="E495" s="1" t="s">
        <v>31</v>
      </c>
      <c r="F495" s="1" t="s">
        <v>31</v>
      </c>
      <c r="G495" s="1" t="s">
        <v>369</v>
      </c>
      <c r="H495" s="1" t="s">
        <v>55</v>
      </c>
      <c r="I495" s="1" t="s">
        <v>3150</v>
      </c>
      <c r="J495" s="1">
        <v>2001.0</v>
      </c>
      <c r="K495" s="1" t="s">
        <v>31</v>
      </c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hidden="1" customHeight="1">
      <c r="A496" s="1">
        <v>2.1000459E7</v>
      </c>
      <c r="B496" s="1" t="s">
        <v>3432</v>
      </c>
      <c r="C496" s="1" t="s">
        <v>51</v>
      </c>
      <c r="D496" s="1" t="s">
        <v>3433</v>
      </c>
      <c r="E496" s="1" t="s">
        <v>31</v>
      </c>
      <c r="F496" s="1" t="s">
        <v>31</v>
      </c>
      <c r="G496" s="1" t="s">
        <v>369</v>
      </c>
      <c r="H496" s="1" t="s">
        <v>55</v>
      </c>
      <c r="I496" s="1" t="s">
        <v>3150</v>
      </c>
      <c r="J496" s="1">
        <v>2001.0</v>
      </c>
      <c r="K496" s="1" t="s">
        <v>31</v>
      </c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hidden="1" customHeight="1">
      <c r="A497" s="1">
        <v>2.1000461E7</v>
      </c>
      <c r="B497" s="1" t="s">
        <v>3434</v>
      </c>
      <c r="C497" s="1" t="s">
        <v>51</v>
      </c>
      <c r="D497" s="1" t="s">
        <v>3435</v>
      </c>
      <c r="E497" s="1" t="s">
        <v>3436</v>
      </c>
      <c r="F497" s="1" t="s">
        <v>3437</v>
      </c>
      <c r="G497" s="1" t="s">
        <v>369</v>
      </c>
      <c r="H497" s="1" t="s">
        <v>55</v>
      </c>
      <c r="I497" s="1" t="s">
        <v>3150</v>
      </c>
      <c r="J497" s="1">
        <v>2001.0</v>
      </c>
      <c r="K497" s="1" t="s">
        <v>31</v>
      </c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hidden="1" customHeight="1">
      <c r="A498" s="1">
        <v>2.1000464E7</v>
      </c>
      <c r="B498" s="1" t="s">
        <v>3442</v>
      </c>
      <c r="C498" s="1" t="s">
        <v>51</v>
      </c>
      <c r="D498" s="1" t="s">
        <v>2211</v>
      </c>
      <c r="E498" s="1" t="s">
        <v>3443</v>
      </c>
      <c r="F498" s="1" t="s">
        <v>3444</v>
      </c>
      <c r="G498" s="1" t="s">
        <v>369</v>
      </c>
      <c r="H498" s="1" t="s">
        <v>55</v>
      </c>
      <c r="I498" s="1" t="s">
        <v>3150</v>
      </c>
      <c r="J498" s="1">
        <v>2001.0</v>
      </c>
      <c r="K498" s="1" t="s">
        <v>31</v>
      </c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hidden="1" customHeight="1">
      <c r="A499" s="1">
        <v>2.1000465E7</v>
      </c>
      <c r="B499" s="1" t="s">
        <v>3446</v>
      </c>
      <c r="C499" s="1" t="s">
        <v>51</v>
      </c>
      <c r="D499" s="1" t="s">
        <v>2211</v>
      </c>
      <c r="E499" s="1" t="s">
        <v>3448</v>
      </c>
      <c r="F499" s="1" t="s">
        <v>3444</v>
      </c>
      <c r="G499" s="1" t="s">
        <v>369</v>
      </c>
      <c r="H499" s="1" t="s">
        <v>55</v>
      </c>
      <c r="I499" s="1" t="s">
        <v>3150</v>
      </c>
      <c r="J499" s="1">
        <v>2001.0</v>
      </c>
      <c r="K499" s="1" t="s">
        <v>31</v>
      </c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hidden="1" customHeight="1">
      <c r="A500" s="1">
        <v>2.1000481E7</v>
      </c>
      <c r="B500" s="1" t="s">
        <v>3454</v>
      </c>
      <c r="C500" s="1" t="s">
        <v>51</v>
      </c>
      <c r="D500" s="1" t="s">
        <v>3455</v>
      </c>
      <c r="E500" s="1" t="s">
        <v>3456</v>
      </c>
      <c r="F500" s="1" t="s">
        <v>3457</v>
      </c>
      <c r="G500" s="1" t="s">
        <v>369</v>
      </c>
      <c r="H500" s="1" t="s">
        <v>55</v>
      </c>
      <c r="I500" s="1" t="s">
        <v>3150</v>
      </c>
      <c r="J500" s="1">
        <v>2001.0</v>
      </c>
      <c r="K500" s="1" t="s">
        <v>31</v>
      </c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hidden="1" customHeight="1">
      <c r="A501" s="1">
        <v>2.1000752E7</v>
      </c>
      <c r="B501" s="1" t="s">
        <v>2514</v>
      </c>
      <c r="C501" s="1" t="s">
        <v>51</v>
      </c>
      <c r="D501" s="1" t="s">
        <v>3460</v>
      </c>
      <c r="E501" s="1" t="s">
        <v>31</v>
      </c>
      <c r="F501" s="1" t="s">
        <v>31</v>
      </c>
      <c r="G501" s="1" t="s">
        <v>31</v>
      </c>
      <c r="H501" s="1" t="s">
        <v>55</v>
      </c>
      <c r="I501" s="1" t="s">
        <v>3150</v>
      </c>
      <c r="J501" s="1">
        <v>1031.0</v>
      </c>
      <c r="K501" s="1" t="s">
        <v>31</v>
      </c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hidden="1" customHeight="1">
      <c r="A502" s="1">
        <v>2.1000755E7</v>
      </c>
      <c r="B502" s="1" t="s">
        <v>2429</v>
      </c>
      <c r="C502" s="1" t="s">
        <v>51</v>
      </c>
      <c r="D502" s="1" t="s">
        <v>87</v>
      </c>
      <c r="E502" s="1" t="s">
        <v>31</v>
      </c>
      <c r="F502" s="1" t="s">
        <v>31</v>
      </c>
      <c r="G502" s="1" t="s">
        <v>31</v>
      </c>
      <c r="H502" s="1" t="s">
        <v>55</v>
      </c>
      <c r="I502" s="1" t="s">
        <v>3150</v>
      </c>
      <c r="J502" s="1">
        <v>1031.0</v>
      </c>
      <c r="K502" s="1" t="s">
        <v>31</v>
      </c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hidden="1" customHeight="1">
      <c r="A503" s="1">
        <v>2.1000756E7</v>
      </c>
      <c r="B503" s="1" t="s">
        <v>1866</v>
      </c>
      <c r="C503" s="1" t="s">
        <v>51</v>
      </c>
      <c r="D503" s="1" t="s">
        <v>3467</v>
      </c>
      <c r="E503" s="1" t="s">
        <v>31</v>
      </c>
      <c r="F503" s="1" t="s">
        <v>31</v>
      </c>
      <c r="G503" s="1" t="s">
        <v>31</v>
      </c>
      <c r="H503" s="1" t="s">
        <v>55</v>
      </c>
      <c r="I503" s="1" t="s">
        <v>3150</v>
      </c>
      <c r="J503" s="1">
        <v>1031.0</v>
      </c>
      <c r="K503" s="1" t="s">
        <v>31</v>
      </c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hidden="1" customHeight="1">
      <c r="A504" s="1">
        <v>2.1000757E7</v>
      </c>
      <c r="B504" s="1" t="s">
        <v>2780</v>
      </c>
      <c r="C504" s="1" t="s">
        <v>51</v>
      </c>
      <c r="D504" s="1" t="s">
        <v>3467</v>
      </c>
      <c r="E504" s="1" t="s">
        <v>31</v>
      </c>
      <c r="F504" s="1" t="s">
        <v>31</v>
      </c>
      <c r="G504" s="1" t="s">
        <v>31</v>
      </c>
      <c r="H504" s="1" t="s">
        <v>55</v>
      </c>
      <c r="I504" s="1" t="s">
        <v>3150</v>
      </c>
      <c r="J504" s="1">
        <v>1031.0</v>
      </c>
      <c r="K504" s="1" t="s">
        <v>31</v>
      </c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hidden="1" customHeight="1">
      <c r="A505" s="1">
        <v>2.1000758E7</v>
      </c>
      <c r="B505" s="1" t="s">
        <v>3043</v>
      </c>
      <c r="C505" s="1" t="s">
        <v>51</v>
      </c>
      <c r="D505" s="1" t="s">
        <v>87</v>
      </c>
      <c r="E505" s="1" t="s">
        <v>31</v>
      </c>
      <c r="F505" s="1" t="s">
        <v>31</v>
      </c>
      <c r="G505" s="1" t="s">
        <v>31</v>
      </c>
      <c r="H505" s="1" t="s">
        <v>55</v>
      </c>
      <c r="I505" s="1" t="s">
        <v>3150</v>
      </c>
      <c r="J505" s="1">
        <v>1031.0</v>
      </c>
      <c r="K505" s="1" t="s">
        <v>31</v>
      </c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hidden="1" customHeight="1">
      <c r="A506" s="1">
        <v>2.1000762E7</v>
      </c>
      <c r="B506" s="1" t="s">
        <v>2913</v>
      </c>
      <c r="C506" s="1" t="s">
        <v>51</v>
      </c>
      <c r="D506" s="1" t="s">
        <v>3467</v>
      </c>
      <c r="E506" s="1" t="s">
        <v>3479</v>
      </c>
      <c r="F506" s="1" t="s">
        <v>31</v>
      </c>
      <c r="G506" s="1" t="s">
        <v>31</v>
      </c>
      <c r="H506" s="1" t="s">
        <v>55</v>
      </c>
      <c r="I506" s="1" t="s">
        <v>3150</v>
      </c>
      <c r="J506" s="1">
        <v>1031.0</v>
      </c>
      <c r="K506" s="1" t="s">
        <v>31</v>
      </c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hidden="1" customHeight="1">
      <c r="A507" s="1">
        <v>2.1000764E7</v>
      </c>
      <c r="B507" s="1" t="s">
        <v>3486</v>
      </c>
      <c r="C507" s="1" t="s">
        <v>51</v>
      </c>
      <c r="D507" s="1" t="s">
        <v>87</v>
      </c>
      <c r="E507" s="1" t="s">
        <v>31</v>
      </c>
      <c r="F507" s="1" t="s">
        <v>31</v>
      </c>
      <c r="G507" s="1" t="s">
        <v>31</v>
      </c>
      <c r="H507" s="1" t="s">
        <v>55</v>
      </c>
      <c r="I507" s="1" t="s">
        <v>3150</v>
      </c>
      <c r="J507" s="1">
        <v>1031.0</v>
      </c>
      <c r="K507" s="1" t="s">
        <v>31</v>
      </c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hidden="1" customHeight="1">
      <c r="A508" s="1">
        <v>2.1000767E7</v>
      </c>
      <c r="B508" s="1" t="s">
        <v>1075</v>
      </c>
      <c r="C508" s="1" t="s">
        <v>51</v>
      </c>
      <c r="D508" s="1" t="s">
        <v>3487</v>
      </c>
      <c r="E508" s="1" t="s">
        <v>3488</v>
      </c>
      <c r="F508" s="1" t="s">
        <v>3490</v>
      </c>
      <c r="G508" s="1" t="s">
        <v>31</v>
      </c>
      <c r="H508" s="1" t="s">
        <v>55</v>
      </c>
      <c r="I508" s="1" t="s">
        <v>3150</v>
      </c>
      <c r="J508" s="1">
        <v>1031.0</v>
      </c>
      <c r="K508" s="1" t="s">
        <v>31</v>
      </c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hidden="1" customHeight="1">
      <c r="A509" s="1">
        <v>2.1000768E7</v>
      </c>
      <c r="B509" s="1" t="s">
        <v>3496</v>
      </c>
      <c r="C509" s="1" t="s">
        <v>51</v>
      </c>
      <c r="D509" s="1" t="s">
        <v>3487</v>
      </c>
      <c r="E509" s="1" t="s">
        <v>3497</v>
      </c>
      <c r="F509" s="1" t="s">
        <v>3498</v>
      </c>
      <c r="G509" s="1" t="s">
        <v>31</v>
      </c>
      <c r="H509" s="1" t="s">
        <v>3499</v>
      </c>
      <c r="I509" s="1" t="s">
        <v>3150</v>
      </c>
      <c r="J509" s="1">
        <v>1031.0</v>
      </c>
      <c r="K509" s="1" t="s">
        <v>31</v>
      </c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hidden="1" customHeight="1">
      <c r="A510" s="1">
        <v>2.1000769E7</v>
      </c>
      <c r="B510" s="1" t="s">
        <v>1093</v>
      </c>
      <c r="C510" s="1" t="s">
        <v>51</v>
      </c>
      <c r="D510" s="1" t="s">
        <v>3487</v>
      </c>
      <c r="E510" s="1" t="s">
        <v>3500</v>
      </c>
      <c r="F510" s="1" t="s">
        <v>3501</v>
      </c>
      <c r="G510" s="1" t="s">
        <v>31</v>
      </c>
      <c r="H510" s="1" t="s">
        <v>55</v>
      </c>
      <c r="I510" s="1" t="s">
        <v>3150</v>
      </c>
      <c r="J510" s="1">
        <v>1031.0</v>
      </c>
      <c r="K510" s="1" t="s">
        <v>31</v>
      </c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hidden="1" customHeight="1">
      <c r="A511" s="1">
        <v>2.100077E7</v>
      </c>
      <c r="B511" s="1" t="s">
        <v>1104</v>
      </c>
      <c r="C511" s="1" t="s">
        <v>51</v>
      </c>
      <c r="D511" s="1" t="s">
        <v>3487</v>
      </c>
      <c r="E511" s="1" t="s">
        <v>3508</v>
      </c>
      <c r="F511" s="1" t="s">
        <v>3501</v>
      </c>
      <c r="G511" s="1" t="s">
        <v>31</v>
      </c>
      <c r="H511" s="1" t="s">
        <v>55</v>
      </c>
      <c r="I511" s="1" t="s">
        <v>3150</v>
      </c>
      <c r="J511" s="1">
        <v>1031.0</v>
      </c>
      <c r="K511" s="1" t="s">
        <v>31</v>
      </c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hidden="1" customHeight="1">
      <c r="A512" s="1">
        <v>2.1000771E7</v>
      </c>
      <c r="B512" s="1" t="s">
        <v>3511</v>
      </c>
      <c r="C512" s="1" t="s">
        <v>51</v>
      </c>
      <c r="D512" s="1" t="s">
        <v>3512</v>
      </c>
      <c r="E512" s="1" t="s">
        <v>31</v>
      </c>
      <c r="F512" s="1" t="s">
        <v>31</v>
      </c>
      <c r="G512" s="1" t="s">
        <v>31</v>
      </c>
      <c r="H512" s="1" t="s">
        <v>55</v>
      </c>
      <c r="I512" s="1" t="s">
        <v>3150</v>
      </c>
      <c r="J512" s="1">
        <v>1031.0</v>
      </c>
      <c r="K512" s="1" t="s">
        <v>31</v>
      </c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hidden="1" customHeight="1">
      <c r="A513" s="1">
        <v>2.1000772E7</v>
      </c>
      <c r="B513" s="1" t="s">
        <v>3523</v>
      </c>
      <c r="C513" s="1" t="s">
        <v>51</v>
      </c>
      <c r="D513" s="1" t="s">
        <v>87</v>
      </c>
      <c r="E513" s="1" t="s">
        <v>3524</v>
      </c>
      <c r="F513" s="1" t="s">
        <v>31</v>
      </c>
      <c r="G513" s="1" t="s">
        <v>31</v>
      </c>
      <c r="H513" s="1" t="s">
        <v>55</v>
      </c>
      <c r="I513" s="1" t="s">
        <v>3150</v>
      </c>
      <c r="J513" s="1">
        <v>1031.0</v>
      </c>
      <c r="K513" s="1" t="s">
        <v>31</v>
      </c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hidden="1" customHeight="1">
      <c r="A514" s="1">
        <v>2.1000773E7</v>
      </c>
      <c r="B514" s="1" t="s">
        <v>3531</v>
      </c>
      <c r="C514" s="1" t="s">
        <v>51</v>
      </c>
      <c r="D514" s="1" t="s">
        <v>87</v>
      </c>
      <c r="E514" s="1" t="s">
        <v>3532</v>
      </c>
      <c r="F514" s="1" t="s">
        <v>3533</v>
      </c>
      <c r="G514" s="1" t="s">
        <v>31</v>
      </c>
      <c r="H514" s="1" t="s">
        <v>55</v>
      </c>
      <c r="I514" s="1" t="s">
        <v>3150</v>
      </c>
      <c r="J514" s="1">
        <v>1031.0</v>
      </c>
      <c r="K514" s="1" t="s">
        <v>31</v>
      </c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hidden="1" customHeight="1">
      <c r="A515" s="1">
        <v>2.1000785E7</v>
      </c>
      <c r="B515" s="1" t="s">
        <v>3535</v>
      </c>
      <c r="C515" s="1" t="s">
        <v>51</v>
      </c>
      <c r="D515" s="1" t="s">
        <v>3536</v>
      </c>
      <c r="E515" s="1" t="s">
        <v>31</v>
      </c>
      <c r="F515" s="1" t="s">
        <v>31</v>
      </c>
      <c r="G515" s="1" t="s">
        <v>31</v>
      </c>
      <c r="H515" s="1" t="s">
        <v>55</v>
      </c>
      <c r="I515" s="1" t="s">
        <v>3150</v>
      </c>
      <c r="J515" s="1">
        <v>1031.0</v>
      </c>
      <c r="K515" s="1" t="s">
        <v>31</v>
      </c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hidden="1" customHeight="1">
      <c r="A516" s="1">
        <v>2.1000789E7</v>
      </c>
      <c r="B516" s="1" t="s">
        <v>3541</v>
      </c>
      <c r="C516" s="1" t="s">
        <v>51</v>
      </c>
      <c r="D516" s="1" t="s">
        <v>3542</v>
      </c>
      <c r="E516" s="1" t="s">
        <v>3544</v>
      </c>
      <c r="F516" s="1" t="s">
        <v>3545</v>
      </c>
      <c r="G516" s="1" t="s">
        <v>31</v>
      </c>
      <c r="H516" s="1" t="s">
        <v>55</v>
      </c>
      <c r="I516" s="1" t="s">
        <v>3150</v>
      </c>
      <c r="J516" s="1">
        <v>1031.0</v>
      </c>
      <c r="K516" s="1" t="s">
        <v>31</v>
      </c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hidden="1" customHeight="1">
      <c r="A517" s="1">
        <v>2.100079E7</v>
      </c>
      <c r="B517" s="1" t="s">
        <v>3547</v>
      </c>
      <c r="C517" s="1" t="s">
        <v>51</v>
      </c>
      <c r="D517" s="1" t="s">
        <v>3542</v>
      </c>
      <c r="E517" s="1" t="s">
        <v>3549</v>
      </c>
      <c r="F517" s="1" t="s">
        <v>3545</v>
      </c>
      <c r="G517" s="1" t="s">
        <v>31</v>
      </c>
      <c r="H517" s="1" t="s">
        <v>55</v>
      </c>
      <c r="I517" s="1" t="s">
        <v>3150</v>
      </c>
      <c r="J517" s="1">
        <v>1031.0</v>
      </c>
      <c r="K517" s="1" t="s">
        <v>31</v>
      </c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hidden="1" customHeight="1">
      <c r="A518" s="1">
        <v>2.1000791E7</v>
      </c>
      <c r="B518" s="1" t="s">
        <v>2716</v>
      </c>
      <c r="C518" s="1" t="s">
        <v>51</v>
      </c>
      <c r="D518" s="1" t="s">
        <v>3557</v>
      </c>
      <c r="E518" s="1" t="s">
        <v>31</v>
      </c>
      <c r="F518" s="1" t="s">
        <v>3558</v>
      </c>
      <c r="G518" s="1" t="s">
        <v>31</v>
      </c>
      <c r="H518" s="1" t="s">
        <v>55</v>
      </c>
      <c r="I518" s="1" t="s">
        <v>3150</v>
      </c>
      <c r="J518" s="1">
        <v>1031.0</v>
      </c>
      <c r="K518" s="1" t="s">
        <v>31</v>
      </c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hidden="1" customHeight="1">
      <c r="A519" s="1">
        <v>2.1000792E7</v>
      </c>
      <c r="B519" s="1" t="s">
        <v>3562</v>
      </c>
      <c r="C519" s="1" t="s">
        <v>51</v>
      </c>
      <c r="D519" s="1" t="s">
        <v>3557</v>
      </c>
      <c r="E519" s="1" t="s">
        <v>31</v>
      </c>
      <c r="F519" s="1" t="s">
        <v>3563</v>
      </c>
      <c r="G519" s="1" t="s">
        <v>31</v>
      </c>
      <c r="H519" s="1" t="s">
        <v>55</v>
      </c>
      <c r="I519" s="1" t="s">
        <v>3150</v>
      </c>
      <c r="J519" s="1">
        <v>1031.0</v>
      </c>
      <c r="K519" s="1" t="s">
        <v>31</v>
      </c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hidden="1" customHeight="1">
      <c r="A520" s="1">
        <v>2.1000793E7</v>
      </c>
      <c r="B520" s="1" t="s">
        <v>3566</v>
      </c>
      <c r="C520" s="1" t="s">
        <v>51</v>
      </c>
      <c r="D520" s="1" t="s">
        <v>3568</v>
      </c>
      <c r="E520" s="1" t="s">
        <v>3569</v>
      </c>
      <c r="F520" s="1" t="s">
        <v>3570</v>
      </c>
      <c r="G520" s="1" t="s">
        <v>31</v>
      </c>
      <c r="H520" s="1" t="s">
        <v>55</v>
      </c>
      <c r="I520" s="1" t="s">
        <v>3150</v>
      </c>
      <c r="J520" s="1">
        <v>1031.0</v>
      </c>
      <c r="K520" s="1" t="s">
        <v>31</v>
      </c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hidden="1" customHeight="1">
      <c r="A521" s="1">
        <v>2.1000802E7</v>
      </c>
      <c r="B521" s="1" t="s">
        <v>3573</v>
      </c>
      <c r="C521" s="1" t="s">
        <v>51</v>
      </c>
      <c r="D521" s="1" t="s">
        <v>3574</v>
      </c>
      <c r="E521" s="1" t="s">
        <v>31</v>
      </c>
      <c r="F521" s="1" t="s">
        <v>31</v>
      </c>
      <c r="G521" s="1" t="s">
        <v>31</v>
      </c>
      <c r="H521" s="1" t="s">
        <v>55</v>
      </c>
      <c r="I521" s="1" t="s">
        <v>3150</v>
      </c>
      <c r="J521" s="1">
        <v>1031.0</v>
      </c>
      <c r="K521" s="1" t="s">
        <v>31</v>
      </c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hidden="1" customHeight="1">
      <c r="A522" s="1">
        <v>2.1000803E7</v>
      </c>
      <c r="B522" s="1" t="s">
        <v>3577</v>
      </c>
      <c r="C522" s="1" t="s">
        <v>51</v>
      </c>
      <c r="D522" s="1" t="s">
        <v>3574</v>
      </c>
      <c r="E522" s="1" t="s">
        <v>31</v>
      </c>
      <c r="F522" s="1" t="s">
        <v>31</v>
      </c>
      <c r="G522" s="1" t="s">
        <v>31</v>
      </c>
      <c r="H522" s="1" t="s">
        <v>55</v>
      </c>
      <c r="I522" s="1" t="s">
        <v>3150</v>
      </c>
      <c r="J522" s="1">
        <v>1031.0</v>
      </c>
      <c r="K522" s="1" t="s">
        <v>31</v>
      </c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hidden="1" customHeight="1">
      <c r="A523" s="1">
        <v>2.1000822E7</v>
      </c>
      <c r="B523" s="1" t="s">
        <v>3582</v>
      </c>
      <c r="C523" s="1" t="s">
        <v>51</v>
      </c>
      <c r="D523" s="1" t="s">
        <v>3583</v>
      </c>
      <c r="E523" s="1" t="s">
        <v>3585</v>
      </c>
      <c r="F523" s="1" t="s">
        <v>31</v>
      </c>
      <c r="G523" s="1" t="s">
        <v>31</v>
      </c>
      <c r="H523" s="1" t="s">
        <v>55</v>
      </c>
      <c r="I523" s="1" t="s">
        <v>3150</v>
      </c>
      <c r="J523" s="1">
        <v>1031.0</v>
      </c>
      <c r="K523" s="1" t="s">
        <v>31</v>
      </c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hidden="1" customHeight="1">
      <c r="A524" s="1">
        <v>2.1000823E7</v>
      </c>
      <c r="B524" s="1" t="s">
        <v>3586</v>
      </c>
      <c r="C524" s="1" t="s">
        <v>51</v>
      </c>
      <c r="D524" s="1" t="s">
        <v>460</v>
      </c>
      <c r="E524" s="1" t="s">
        <v>31</v>
      </c>
      <c r="F524" s="1" t="s">
        <v>31</v>
      </c>
      <c r="G524" s="1" t="s">
        <v>31</v>
      </c>
      <c r="H524" s="1" t="s">
        <v>55</v>
      </c>
      <c r="I524" s="1" t="s">
        <v>3150</v>
      </c>
      <c r="J524" s="1">
        <v>1031.0</v>
      </c>
      <c r="K524" s="1" t="s">
        <v>31</v>
      </c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hidden="1" customHeight="1">
      <c r="A525" s="1">
        <v>2.1000824E7</v>
      </c>
      <c r="B525" s="1" t="s">
        <v>3592</v>
      </c>
      <c r="C525" s="1" t="s">
        <v>51</v>
      </c>
      <c r="D525" s="1" t="s">
        <v>3583</v>
      </c>
      <c r="E525" s="1" t="s">
        <v>31</v>
      </c>
      <c r="F525" s="1" t="s">
        <v>31</v>
      </c>
      <c r="G525" s="1" t="s">
        <v>31</v>
      </c>
      <c r="H525" s="1" t="s">
        <v>55</v>
      </c>
      <c r="I525" s="1" t="s">
        <v>3150</v>
      </c>
      <c r="J525" s="1">
        <v>1031.0</v>
      </c>
      <c r="K525" s="1" t="s">
        <v>31</v>
      </c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hidden="1" customHeight="1">
      <c r="A526" s="1">
        <v>2.1000825E7</v>
      </c>
      <c r="B526" s="1" t="s">
        <v>3594</v>
      </c>
      <c r="C526" s="1" t="s">
        <v>51</v>
      </c>
      <c r="D526" s="1" t="s">
        <v>460</v>
      </c>
      <c r="E526" s="1" t="s">
        <v>31</v>
      </c>
      <c r="F526" s="1" t="s">
        <v>31</v>
      </c>
      <c r="G526" s="1" t="s">
        <v>31</v>
      </c>
      <c r="H526" s="1" t="s">
        <v>55</v>
      </c>
      <c r="I526" s="1" t="s">
        <v>3150</v>
      </c>
      <c r="J526" s="1">
        <v>1031.0</v>
      </c>
      <c r="K526" s="1" t="s">
        <v>31</v>
      </c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hidden="1" customHeight="1">
      <c r="A527" s="1">
        <v>2.1000826E7</v>
      </c>
      <c r="B527" s="1" t="s">
        <v>3603</v>
      </c>
      <c r="C527" s="1" t="s">
        <v>51</v>
      </c>
      <c r="D527" s="1" t="s">
        <v>3605</v>
      </c>
      <c r="E527" s="1" t="s">
        <v>31</v>
      </c>
      <c r="F527" s="1" t="s">
        <v>31</v>
      </c>
      <c r="G527" s="1" t="s">
        <v>31</v>
      </c>
      <c r="H527" s="1" t="s">
        <v>55</v>
      </c>
      <c r="I527" s="1" t="s">
        <v>3150</v>
      </c>
      <c r="J527" s="1">
        <v>1031.0</v>
      </c>
      <c r="K527" s="1" t="s">
        <v>31</v>
      </c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hidden="1" customHeight="1">
      <c r="A528" s="1">
        <v>2.1000827E7</v>
      </c>
      <c r="B528" s="1" t="s">
        <v>3637</v>
      </c>
      <c r="C528" s="1" t="s">
        <v>51</v>
      </c>
      <c r="D528" s="1" t="s">
        <v>3638</v>
      </c>
      <c r="E528" s="1" t="s">
        <v>31</v>
      </c>
      <c r="F528" s="1" t="s">
        <v>31</v>
      </c>
      <c r="G528" s="1" t="s">
        <v>31</v>
      </c>
      <c r="H528" s="1" t="s">
        <v>55</v>
      </c>
      <c r="I528" s="1" t="s">
        <v>3150</v>
      </c>
      <c r="J528" s="1">
        <v>1031.0</v>
      </c>
      <c r="K528" s="1" t="s">
        <v>31</v>
      </c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hidden="1" customHeight="1">
      <c r="A529" s="1">
        <v>2.1000828E7</v>
      </c>
      <c r="B529" s="1" t="s">
        <v>3644</v>
      </c>
      <c r="C529" s="1" t="s">
        <v>51</v>
      </c>
      <c r="D529" s="1" t="s">
        <v>3638</v>
      </c>
      <c r="E529" s="1" t="s">
        <v>31</v>
      </c>
      <c r="F529" s="1" t="s">
        <v>31</v>
      </c>
      <c r="G529" s="1" t="s">
        <v>31</v>
      </c>
      <c r="H529" s="1" t="s">
        <v>55</v>
      </c>
      <c r="I529" s="1" t="s">
        <v>3150</v>
      </c>
      <c r="J529" s="1">
        <v>1031.0</v>
      </c>
      <c r="K529" s="1" t="s">
        <v>31</v>
      </c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hidden="1" customHeight="1">
      <c r="A530" s="1">
        <v>2.1000862E7</v>
      </c>
      <c r="B530" s="1" t="s">
        <v>3650</v>
      </c>
      <c r="C530" s="1" t="s">
        <v>51</v>
      </c>
      <c r="D530" s="1" t="s">
        <v>3536</v>
      </c>
      <c r="E530" s="1" t="s">
        <v>3651</v>
      </c>
      <c r="F530" s="1" t="s">
        <v>3653</v>
      </c>
      <c r="G530" s="1" t="s">
        <v>31</v>
      </c>
      <c r="H530" s="1" t="s">
        <v>55</v>
      </c>
      <c r="I530" s="1" t="s">
        <v>3150</v>
      </c>
      <c r="J530" s="1">
        <v>1002.0</v>
      </c>
      <c r="K530" s="1" t="s">
        <v>31</v>
      </c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hidden="1" customHeight="1">
      <c r="A531" s="1">
        <v>2.1000868E7</v>
      </c>
      <c r="B531" s="1" t="s">
        <v>3655</v>
      </c>
      <c r="C531" s="1" t="s">
        <v>51</v>
      </c>
      <c r="D531" s="1" t="s">
        <v>3536</v>
      </c>
      <c r="E531" s="1" t="s">
        <v>3651</v>
      </c>
      <c r="F531" s="1" t="s">
        <v>3653</v>
      </c>
      <c r="G531" s="1" t="s">
        <v>31</v>
      </c>
      <c r="H531" s="1" t="s">
        <v>55</v>
      </c>
      <c r="I531" s="1" t="s">
        <v>3150</v>
      </c>
      <c r="J531" s="1">
        <v>1002.0</v>
      </c>
      <c r="K531" s="1" t="s">
        <v>31</v>
      </c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hidden="1" customHeight="1">
      <c r="A532" s="1">
        <v>2.1000884E7</v>
      </c>
      <c r="B532" s="1" t="s">
        <v>2284</v>
      </c>
      <c r="C532" s="1" t="s">
        <v>51</v>
      </c>
      <c r="D532" s="1" t="s">
        <v>3662</v>
      </c>
      <c r="E532" s="1" t="s">
        <v>3663</v>
      </c>
      <c r="F532" s="1" t="s">
        <v>3664</v>
      </c>
      <c r="G532" s="1" t="s">
        <v>31</v>
      </c>
      <c r="H532" s="1" t="s">
        <v>55</v>
      </c>
      <c r="I532" s="1" t="s">
        <v>3150</v>
      </c>
      <c r="J532" s="1">
        <v>1501.0</v>
      </c>
      <c r="K532" s="1" t="s">
        <v>31</v>
      </c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hidden="1" customHeight="1">
      <c r="A533" s="1">
        <v>2.1000889E7</v>
      </c>
      <c r="B533" s="1" t="s">
        <v>3666</v>
      </c>
      <c r="C533" s="1" t="s">
        <v>51</v>
      </c>
      <c r="D533" s="1" t="s">
        <v>3667</v>
      </c>
      <c r="E533" s="1" t="s">
        <v>3668</v>
      </c>
      <c r="F533" s="1" t="s">
        <v>3669</v>
      </c>
      <c r="G533" s="1" t="s">
        <v>31</v>
      </c>
      <c r="H533" s="1" t="s">
        <v>412</v>
      </c>
      <c r="I533" s="1" t="s">
        <v>3150</v>
      </c>
      <c r="J533" s="1">
        <v>1002.0</v>
      </c>
      <c r="K533" s="1" t="s">
        <v>31</v>
      </c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hidden="1" customHeight="1">
      <c r="A534" s="1">
        <v>2.1000891E7</v>
      </c>
      <c r="B534" s="1" t="s">
        <v>2670</v>
      </c>
      <c r="C534" s="1" t="s">
        <v>51</v>
      </c>
      <c r="D534" s="1" t="s">
        <v>3678</v>
      </c>
      <c r="E534" s="1" t="s">
        <v>2672</v>
      </c>
      <c r="F534" s="1" t="s">
        <v>3679</v>
      </c>
      <c r="G534" s="1" t="s">
        <v>31</v>
      </c>
      <c r="H534" s="1" t="s">
        <v>412</v>
      </c>
      <c r="I534" s="1" t="s">
        <v>3150</v>
      </c>
      <c r="J534" s="1">
        <v>1002.0</v>
      </c>
      <c r="K534" s="1" t="s">
        <v>31</v>
      </c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hidden="1" customHeight="1">
      <c r="A535" s="1">
        <v>2.1000892E7</v>
      </c>
      <c r="B535" s="1" t="s">
        <v>3680</v>
      </c>
      <c r="C535" s="1" t="s">
        <v>51</v>
      </c>
      <c r="D535" s="1" t="s">
        <v>3681</v>
      </c>
      <c r="E535" s="1" t="s">
        <v>31</v>
      </c>
      <c r="F535" s="1" t="s">
        <v>31</v>
      </c>
      <c r="G535" s="1" t="s">
        <v>369</v>
      </c>
      <c r="H535" s="1" t="s">
        <v>412</v>
      </c>
      <c r="I535" s="1" t="s">
        <v>3150</v>
      </c>
      <c r="J535" s="1">
        <v>2001.0</v>
      </c>
      <c r="K535" s="1" t="s">
        <v>31</v>
      </c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hidden="1" customHeight="1">
      <c r="A536" s="1">
        <v>2.1000907E7</v>
      </c>
      <c r="B536" s="1" t="s">
        <v>2298</v>
      </c>
      <c r="C536" s="1" t="s">
        <v>51</v>
      </c>
      <c r="D536" s="1" t="s">
        <v>3685</v>
      </c>
      <c r="E536" s="1" t="s">
        <v>3686</v>
      </c>
      <c r="F536" s="1" t="s">
        <v>3687</v>
      </c>
      <c r="G536" s="1" t="s">
        <v>31</v>
      </c>
      <c r="H536" s="1" t="s">
        <v>55</v>
      </c>
      <c r="I536" s="1" t="s">
        <v>3150</v>
      </c>
      <c r="J536" s="1">
        <v>1001.0</v>
      </c>
      <c r="K536" s="1" t="s">
        <v>31</v>
      </c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hidden="1" customHeight="1">
      <c r="A537" s="1">
        <v>2.1000908E7</v>
      </c>
      <c r="B537" s="1" t="s">
        <v>3688</v>
      </c>
      <c r="C537" s="1" t="s">
        <v>51</v>
      </c>
      <c r="D537" s="1" t="s">
        <v>3689</v>
      </c>
      <c r="E537" s="1" t="s">
        <v>3690</v>
      </c>
      <c r="F537" s="1" t="s">
        <v>3692</v>
      </c>
      <c r="G537" s="1" t="s">
        <v>31</v>
      </c>
      <c r="H537" s="1" t="s">
        <v>55</v>
      </c>
      <c r="I537" s="1" t="s">
        <v>3150</v>
      </c>
      <c r="J537" s="1">
        <v>1001.0</v>
      </c>
      <c r="K537" s="1" t="s">
        <v>31</v>
      </c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hidden="1" customHeight="1">
      <c r="A538" s="1">
        <v>2.1000911E7</v>
      </c>
      <c r="B538" s="1" t="s">
        <v>1118</v>
      </c>
      <c r="C538" s="1" t="s">
        <v>51</v>
      </c>
      <c r="D538" s="1" t="s">
        <v>3693</v>
      </c>
      <c r="E538" s="1" t="s">
        <v>31</v>
      </c>
      <c r="F538" s="1" t="s">
        <v>31</v>
      </c>
      <c r="G538" s="1" t="s">
        <v>31</v>
      </c>
      <c r="H538" s="1" t="s">
        <v>55</v>
      </c>
      <c r="I538" s="1" t="s">
        <v>3150</v>
      </c>
      <c r="J538" s="1">
        <v>1031.0</v>
      </c>
      <c r="K538" s="1" t="s">
        <v>31</v>
      </c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hidden="1" customHeight="1">
      <c r="A539" s="1">
        <v>2.100097E7</v>
      </c>
      <c r="B539" s="1" t="s">
        <v>2310</v>
      </c>
      <c r="C539" s="1" t="s">
        <v>51</v>
      </c>
      <c r="D539" s="1" t="s">
        <v>3695</v>
      </c>
      <c r="E539" s="1" t="s">
        <v>3696</v>
      </c>
      <c r="F539" s="1" t="s">
        <v>3687</v>
      </c>
      <c r="G539" s="1" t="s">
        <v>31</v>
      </c>
      <c r="H539" s="1" t="s">
        <v>412</v>
      </c>
      <c r="I539" s="1" t="s">
        <v>3150</v>
      </c>
      <c r="J539" s="1">
        <v>1001.0</v>
      </c>
      <c r="K539" s="1" t="s">
        <v>31</v>
      </c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hidden="1" customHeight="1">
      <c r="A540" s="1">
        <v>2.1000971E7</v>
      </c>
      <c r="B540" s="1" t="s">
        <v>2529</v>
      </c>
      <c r="C540" s="1" t="s">
        <v>51</v>
      </c>
      <c r="D540" s="1" t="s">
        <v>3695</v>
      </c>
      <c r="E540" s="1" t="s">
        <v>3698</v>
      </c>
      <c r="F540" s="1" t="s">
        <v>3194</v>
      </c>
      <c r="G540" s="1" t="s">
        <v>31</v>
      </c>
      <c r="H540" s="1" t="s">
        <v>55</v>
      </c>
      <c r="I540" s="1" t="s">
        <v>3150</v>
      </c>
      <c r="J540" s="1">
        <v>1001.0</v>
      </c>
      <c r="K540" s="1" t="s">
        <v>31</v>
      </c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hidden="1" customHeight="1">
      <c r="A541" s="1">
        <v>2.1000973E7</v>
      </c>
      <c r="B541" s="1" t="s">
        <v>3700</v>
      </c>
      <c r="C541" s="1" t="s">
        <v>51</v>
      </c>
      <c r="D541" s="1" t="s">
        <v>3340</v>
      </c>
      <c r="E541" s="1" t="s">
        <v>3701</v>
      </c>
      <c r="F541" s="1" t="s">
        <v>3702</v>
      </c>
      <c r="G541" s="1" t="s">
        <v>31</v>
      </c>
      <c r="H541" s="1" t="s">
        <v>55</v>
      </c>
      <c r="I541" s="1" t="s">
        <v>3150</v>
      </c>
      <c r="J541" s="1">
        <v>1004.0</v>
      </c>
      <c r="K541" s="1" t="s">
        <v>31</v>
      </c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hidden="1" customHeight="1">
      <c r="A542" s="1">
        <v>2.1000974E7</v>
      </c>
      <c r="B542" s="1" t="s">
        <v>3704</v>
      </c>
      <c r="C542" s="1" t="s">
        <v>51</v>
      </c>
      <c r="D542" s="1" t="s">
        <v>3705</v>
      </c>
      <c r="E542" s="1" t="s">
        <v>3706</v>
      </c>
      <c r="F542" s="1" t="s">
        <v>3707</v>
      </c>
      <c r="G542" s="1" t="s">
        <v>31</v>
      </c>
      <c r="H542" s="1" t="s">
        <v>412</v>
      </c>
      <c r="I542" s="1" t="s">
        <v>3150</v>
      </c>
      <c r="J542" s="1">
        <v>1004.0</v>
      </c>
      <c r="K542" s="1" t="s">
        <v>31</v>
      </c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hidden="1" customHeight="1">
      <c r="A543" s="1">
        <v>2.1000975E7</v>
      </c>
      <c r="B543" s="1" t="s">
        <v>1210</v>
      </c>
      <c r="C543" s="1" t="s">
        <v>51</v>
      </c>
      <c r="D543" s="1" t="s">
        <v>3705</v>
      </c>
      <c r="E543" s="1" t="s">
        <v>3708</v>
      </c>
      <c r="F543" s="1" t="s">
        <v>3707</v>
      </c>
      <c r="G543" s="1" t="s">
        <v>31</v>
      </c>
      <c r="H543" s="1" t="s">
        <v>412</v>
      </c>
      <c r="I543" s="1" t="s">
        <v>3150</v>
      </c>
      <c r="J543" s="1">
        <v>1004.0</v>
      </c>
      <c r="K543" s="1" t="s">
        <v>31</v>
      </c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hidden="1" customHeight="1">
      <c r="A544" s="1">
        <v>2.1000976E7</v>
      </c>
      <c r="B544" s="1" t="s">
        <v>1355</v>
      </c>
      <c r="C544" s="1" t="s">
        <v>51</v>
      </c>
      <c r="D544" s="1" t="s">
        <v>3705</v>
      </c>
      <c r="E544" s="1" t="s">
        <v>3709</v>
      </c>
      <c r="F544" s="1" t="s">
        <v>3707</v>
      </c>
      <c r="G544" s="1" t="s">
        <v>31</v>
      </c>
      <c r="H544" s="1" t="s">
        <v>412</v>
      </c>
      <c r="I544" s="1" t="s">
        <v>3150</v>
      </c>
      <c r="J544" s="1">
        <v>1004.0</v>
      </c>
      <c r="K544" s="1" t="s">
        <v>31</v>
      </c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hidden="1" customHeight="1">
      <c r="A545" s="1">
        <v>2.1000978E7</v>
      </c>
      <c r="B545" s="1" t="s">
        <v>3711</v>
      </c>
      <c r="C545" s="1" t="s">
        <v>51</v>
      </c>
      <c r="D545" s="1" t="s">
        <v>3712</v>
      </c>
      <c r="E545" s="1" t="s">
        <v>3713</v>
      </c>
      <c r="F545" s="1" t="s">
        <v>3714</v>
      </c>
      <c r="G545" s="1" t="s">
        <v>31</v>
      </c>
      <c r="H545" s="1" t="s">
        <v>412</v>
      </c>
      <c r="I545" s="1" t="s">
        <v>3150</v>
      </c>
      <c r="J545" s="1">
        <v>1004.0</v>
      </c>
      <c r="K545" s="1" t="s">
        <v>31</v>
      </c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hidden="1" customHeight="1">
      <c r="A546" s="1">
        <v>2.1000985E7</v>
      </c>
      <c r="B546" s="1" t="s">
        <v>3716</v>
      </c>
      <c r="C546" s="1" t="s">
        <v>51</v>
      </c>
      <c r="D546" s="1" t="s">
        <v>3717</v>
      </c>
      <c r="E546" s="1" t="s">
        <v>31</v>
      </c>
      <c r="F546" s="1" t="s">
        <v>3718</v>
      </c>
      <c r="G546" s="1" t="s">
        <v>31</v>
      </c>
      <c r="H546" s="1" t="s">
        <v>412</v>
      </c>
      <c r="I546" s="1" t="s">
        <v>3150</v>
      </c>
      <c r="J546" s="1">
        <v>1031.0</v>
      </c>
      <c r="K546" s="1" t="s">
        <v>31</v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hidden="1" customHeight="1">
      <c r="A547" s="1">
        <v>2.1000988E7</v>
      </c>
      <c r="B547" s="1" t="s">
        <v>1483</v>
      </c>
      <c r="C547" s="1" t="s">
        <v>51</v>
      </c>
      <c r="D547" s="1" t="s">
        <v>3719</v>
      </c>
      <c r="E547" s="1" t="s">
        <v>31</v>
      </c>
      <c r="F547" s="1" t="s">
        <v>31</v>
      </c>
      <c r="G547" s="1" t="s">
        <v>2024</v>
      </c>
      <c r="H547" s="1" t="s">
        <v>412</v>
      </c>
      <c r="I547" s="1" t="s">
        <v>3150</v>
      </c>
      <c r="J547" s="1">
        <v>1004.0</v>
      </c>
      <c r="K547" s="1" t="s">
        <v>31</v>
      </c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hidden="1" customHeight="1">
      <c r="A548" s="1">
        <v>2.1000989E7</v>
      </c>
      <c r="B548" s="1" t="s">
        <v>1499</v>
      </c>
      <c r="C548" s="1" t="s">
        <v>51</v>
      </c>
      <c r="D548" s="1" t="s">
        <v>3719</v>
      </c>
      <c r="E548" s="1" t="s">
        <v>31</v>
      </c>
      <c r="F548" s="1" t="s">
        <v>31</v>
      </c>
      <c r="G548" s="1" t="s">
        <v>2024</v>
      </c>
      <c r="H548" s="1" t="s">
        <v>412</v>
      </c>
      <c r="I548" s="1" t="s">
        <v>3150</v>
      </c>
      <c r="J548" s="1">
        <v>1004.0</v>
      </c>
      <c r="K548" s="1" t="s">
        <v>31</v>
      </c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hidden="1" customHeight="1">
      <c r="A549" s="1">
        <v>2.100099E7</v>
      </c>
      <c r="B549" s="1" t="s">
        <v>1513</v>
      </c>
      <c r="C549" s="1" t="s">
        <v>51</v>
      </c>
      <c r="D549" s="1" t="s">
        <v>3719</v>
      </c>
      <c r="E549" s="1" t="s">
        <v>31</v>
      </c>
      <c r="F549" s="1" t="s">
        <v>31</v>
      </c>
      <c r="G549" s="1" t="s">
        <v>2024</v>
      </c>
      <c r="H549" s="1" t="s">
        <v>412</v>
      </c>
      <c r="I549" s="1" t="s">
        <v>3150</v>
      </c>
      <c r="J549" s="1">
        <v>1004.0</v>
      </c>
      <c r="K549" s="1" t="s">
        <v>31</v>
      </c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hidden="1" customHeight="1">
      <c r="A550" s="1">
        <v>2.1000991E7</v>
      </c>
      <c r="B550" s="1" t="s">
        <v>1536</v>
      </c>
      <c r="C550" s="1" t="s">
        <v>51</v>
      </c>
      <c r="D550" s="1" t="s">
        <v>3719</v>
      </c>
      <c r="E550" s="1" t="s">
        <v>31</v>
      </c>
      <c r="F550" s="1" t="s">
        <v>31</v>
      </c>
      <c r="G550" s="1" t="s">
        <v>2024</v>
      </c>
      <c r="H550" s="1" t="s">
        <v>412</v>
      </c>
      <c r="I550" s="1" t="s">
        <v>3150</v>
      </c>
      <c r="J550" s="1">
        <v>1004.0</v>
      </c>
      <c r="K550" s="1" t="s">
        <v>31</v>
      </c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hidden="1" customHeight="1">
      <c r="A551" s="1">
        <v>2.1000992E7</v>
      </c>
      <c r="B551" s="1" t="s">
        <v>1872</v>
      </c>
      <c r="C551" s="1" t="s">
        <v>51</v>
      </c>
      <c r="D551" s="1" t="s">
        <v>3719</v>
      </c>
      <c r="E551" s="1" t="s">
        <v>31</v>
      </c>
      <c r="F551" s="1" t="s">
        <v>31</v>
      </c>
      <c r="G551" s="1" t="s">
        <v>2024</v>
      </c>
      <c r="H551" s="1" t="s">
        <v>412</v>
      </c>
      <c r="I551" s="1" t="s">
        <v>3150</v>
      </c>
      <c r="J551" s="1">
        <v>1004.0</v>
      </c>
      <c r="K551" s="1" t="s">
        <v>31</v>
      </c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hidden="1" customHeight="1">
      <c r="A552" s="1">
        <v>2.1000993E7</v>
      </c>
      <c r="B552" s="1" t="s">
        <v>1892</v>
      </c>
      <c r="C552" s="1" t="s">
        <v>51</v>
      </c>
      <c r="D552" s="1" t="s">
        <v>3719</v>
      </c>
      <c r="E552" s="1" t="s">
        <v>31</v>
      </c>
      <c r="F552" s="1" t="s">
        <v>31</v>
      </c>
      <c r="G552" s="1" t="s">
        <v>2024</v>
      </c>
      <c r="H552" s="1" t="s">
        <v>412</v>
      </c>
      <c r="I552" s="1" t="s">
        <v>3150</v>
      </c>
      <c r="J552" s="1">
        <v>1004.0</v>
      </c>
      <c r="K552" s="1" t="s">
        <v>31</v>
      </c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hidden="1" customHeight="1">
      <c r="A553" s="1">
        <v>2.1000994E7</v>
      </c>
      <c r="B553" s="1" t="s">
        <v>1903</v>
      </c>
      <c r="C553" s="1" t="s">
        <v>51</v>
      </c>
      <c r="D553" s="1" t="s">
        <v>3719</v>
      </c>
      <c r="E553" s="1" t="s">
        <v>31</v>
      </c>
      <c r="F553" s="1" t="s">
        <v>31</v>
      </c>
      <c r="G553" s="1" t="s">
        <v>31</v>
      </c>
      <c r="H553" s="1" t="s">
        <v>412</v>
      </c>
      <c r="I553" s="1" t="s">
        <v>3150</v>
      </c>
      <c r="J553" s="1">
        <v>1004.0</v>
      </c>
      <c r="K553" s="1" t="s">
        <v>31</v>
      </c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hidden="1" customHeight="1">
      <c r="A554" s="1">
        <v>2.1000995E7</v>
      </c>
      <c r="B554" s="1" t="s">
        <v>1919</v>
      </c>
      <c r="C554" s="1" t="s">
        <v>51</v>
      </c>
      <c r="D554" s="1" t="s">
        <v>3719</v>
      </c>
      <c r="E554" s="1" t="s">
        <v>31</v>
      </c>
      <c r="F554" s="1" t="s">
        <v>31</v>
      </c>
      <c r="G554" s="1" t="s">
        <v>2024</v>
      </c>
      <c r="H554" s="1" t="s">
        <v>412</v>
      </c>
      <c r="I554" s="1" t="s">
        <v>3150</v>
      </c>
      <c r="J554" s="1">
        <v>1004.0</v>
      </c>
      <c r="K554" s="1" t="s">
        <v>31</v>
      </c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hidden="1" customHeight="1">
      <c r="A555" s="1">
        <v>2.1000996E7</v>
      </c>
      <c r="B555" s="1" t="s">
        <v>3606</v>
      </c>
      <c r="C555" s="1" t="s">
        <v>51</v>
      </c>
      <c r="D555" s="1" t="s">
        <v>3719</v>
      </c>
      <c r="E555" s="1" t="s">
        <v>31</v>
      </c>
      <c r="F555" s="1" t="s">
        <v>31</v>
      </c>
      <c r="G555" s="1" t="s">
        <v>2024</v>
      </c>
      <c r="H555" s="1" t="s">
        <v>412</v>
      </c>
      <c r="I555" s="1" t="s">
        <v>3150</v>
      </c>
      <c r="J555" s="1">
        <v>1004.0</v>
      </c>
      <c r="K555" s="1" t="s">
        <v>31</v>
      </c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hidden="1" customHeight="1">
      <c r="A556" s="1">
        <v>2.1000997E7</v>
      </c>
      <c r="B556" s="1" t="s">
        <v>2126</v>
      </c>
      <c r="C556" s="1" t="s">
        <v>51</v>
      </c>
      <c r="D556" s="1" t="s">
        <v>3719</v>
      </c>
      <c r="E556" s="1" t="s">
        <v>31</v>
      </c>
      <c r="F556" s="1" t="s">
        <v>31</v>
      </c>
      <c r="G556" s="1" t="s">
        <v>2024</v>
      </c>
      <c r="H556" s="1" t="s">
        <v>412</v>
      </c>
      <c r="I556" s="1" t="s">
        <v>3150</v>
      </c>
      <c r="J556" s="1">
        <v>1004.0</v>
      </c>
      <c r="K556" s="1" t="s">
        <v>31</v>
      </c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hidden="1" customHeight="1">
      <c r="A557" s="1">
        <v>2.1000998E7</v>
      </c>
      <c r="B557" s="1" t="s">
        <v>2131</v>
      </c>
      <c r="C557" s="1" t="s">
        <v>51</v>
      </c>
      <c r="D557" s="1" t="s">
        <v>3719</v>
      </c>
      <c r="E557" s="1" t="s">
        <v>31</v>
      </c>
      <c r="F557" s="1" t="s">
        <v>31</v>
      </c>
      <c r="G557" s="1" t="s">
        <v>2024</v>
      </c>
      <c r="H557" s="1" t="s">
        <v>412</v>
      </c>
      <c r="I557" s="1" t="s">
        <v>3150</v>
      </c>
      <c r="J557" s="1">
        <v>1004.0</v>
      </c>
      <c r="K557" s="1" t="s">
        <v>31</v>
      </c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hidden="1" customHeight="1">
      <c r="A558" s="1">
        <v>2.1000999E7</v>
      </c>
      <c r="B558" s="1" t="s">
        <v>2140</v>
      </c>
      <c r="C558" s="1" t="s">
        <v>51</v>
      </c>
      <c r="D558" s="1" t="s">
        <v>3719</v>
      </c>
      <c r="E558" s="1" t="s">
        <v>31</v>
      </c>
      <c r="F558" s="1" t="s">
        <v>31</v>
      </c>
      <c r="G558" s="1" t="s">
        <v>2024</v>
      </c>
      <c r="H558" s="1" t="s">
        <v>412</v>
      </c>
      <c r="I558" s="1" t="s">
        <v>3150</v>
      </c>
      <c r="J558" s="1">
        <v>1004.0</v>
      </c>
      <c r="K558" s="1" t="s">
        <v>31</v>
      </c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hidden="1" customHeight="1">
      <c r="A559" s="1">
        <v>2.1001018E7</v>
      </c>
      <c r="B559" s="1" t="s">
        <v>3050</v>
      </c>
      <c r="C559" s="1" t="s">
        <v>51</v>
      </c>
      <c r="D559" s="1" t="s">
        <v>1782</v>
      </c>
      <c r="E559" s="1" t="s">
        <v>31</v>
      </c>
      <c r="F559" s="1" t="s">
        <v>31</v>
      </c>
      <c r="G559" s="1" t="s">
        <v>2024</v>
      </c>
      <c r="H559" s="1" t="s">
        <v>412</v>
      </c>
      <c r="I559" s="1" t="s">
        <v>3150</v>
      </c>
      <c r="J559" s="1">
        <v>1004.0</v>
      </c>
      <c r="K559" s="1" t="s">
        <v>31</v>
      </c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hidden="1" customHeight="1">
      <c r="A560" s="1">
        <v>2.1001019E7</v>
      </c>
      <c r="B560" s="1" t="s">
        <v>3063</v>
      </c>
      <c r="C560" s="1" t="s">
        <v>51</v>
      </c>
      <c r="D560" s="1" t="s">
        <v>1782</v>
      </c>
      <c r="E560" s="1" t="s">
        <v>31</v>
      </c>
      <c r="F560" s="1" t="s">
        <v>31</v>
      </c>
      <c r="G560" s="1" t="s">
        <v>2024</v>
      </c>
      <c r="H560" s="1" t="s">
        <v>412</v>
      </c>
      <c r="I560" s="1" t="s">
        <v>3150</v>
      </c>
      <c r="J560" s="1">
        <v>1004.0</v>
      </c>
      <c r="K560" s="1" t="s">
        <v>31</v>
      </c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hidden="1" customHeight="1">
      <c r="A561" s="1">
        <v>2.1001062E7</v>
      </c>
      <c r="B561" s="1" t="s">
        <v>3736</v>
      </c>
      <c r="C561" s="1" t="s">
        <v>51</v>
      </c>
      <c r="D561" s="1" t="s">
        <v>3737</v>
      </c>
      <c r="E561" s="1" t="s">
        <v>3738</v>
      </c>
      <c r="F561" s="1" t="s">
        <v>3740</v>
      </c>
      <c r="G561" s="1" t="s">
        <v>2024</v>
      </c>
      <c r="H561" s="1" t="s">
        <v>55</v>
      </c>
      <c r="I561" s="1" t="s">
        <v>3150</v>
      </c>
      <c r="J561" s="1">
        <v>1031.0</v>
      </c>
      <c r="K561" s="1" t="s">
        <v>31</v>
      </c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hidden="1" customHeight="1">
      <c r="A562" s="1">
        <v>2.1001064E7</v>
      </c>
      <c r="B562" s="1" t="s">
        <v>2149</v>
      </c>
      <c r="C562" s="1" t="s">
        <v>51</v>
      </c>
      <c r="D562" s="1" t="s">
        <v>3460</v>
      </c>
      <c r="E562" s="1" t="s">
        <v>31</v>
      </c>
      <c r="F562" s="1" t="s">
        <v>31</v>
      </c>
      <c r="G562" s="1" t="s">
        <v>2024</v>
      </c>
      <c r="H562" s="1" t="s">
        <v>55</v>
      </c>
      <c r="I562" s="1" t="s">
        <v>3150</v>
      </c>
      <c r="J562" s="1">
        <v>1031.0</v>
      </c>
      <c r="K562" s="1" t="s">
        <v>31</v>
      </c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hidden="1" customHeight="1">
      <c r="A563" s="1">
        <v>2.1001081E7</v>
      </c>
      <c r="B563" s="1" t="s">
        <v>3749</v>
      </c>
      <c r="C563" s="1" t="s">
        <v>51</v>
      </c>
      <c r="D563" s="1" t="s">
        <v>3750</v>
      </c>
      <c r="E563" s="1" t="s">
        <v>3752</v>
      </c>
      <c r="F563" s="1" t="s">
        <v>3754</v>
      </c>
      <c r="G563" s="1" t="s">
        <v>369</v>
      </c>
      <c r="H563" s="1" t="s">
        <v>55</v>
      </c>
      <c r="I563" s="1" t="s">
        <v>3150</v>
      </c>
      <c r="J563" s="1">
        <v>1001.0</v>
      </c>
      <c r="K563" s="1" t="s">
        <v>31</v>
      </c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hidden="1" customHeight="1">
      <c r="A564" s="1">
        <v>2.1001082E7</v>
      </c>
      <c r="B564" s="1" t="s">
        <v>3755</v>
      </c>
      <c r="C564" s="1" t="s">
        <v>51</v>
      </c>
      <c r="D564" s="1" t="s">
        <v>3750</v>
      </c>
      <c r="E564" s="1" t="s">
        <v>3756</v>
      </c>
      <c r="F564" s="1" t="s">
        <v>3754</v>
      </c>
      <c r="G564" s="1" t="s">
        <v>2024</v>
      </c>
      <c r="H564" s="1" t="s">
        <v>412</v>
      </c>
      <c r="I564" s="1" t="s">
        <v>3150</v>
      </c>
      <c r="J564" s="1">
        <v>1001.0</v>
      </c>
      <c r="K564" s="1" t="s">
        <v>31</v>
      </c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hidden="1" customHeight="1">
      <c r="A565" s="1">
        <v>2.1001083E7</v>
      </c>
      <c r="B565" s="1" t="s">
        <v>3761</v>
      </c>
      <c r="C565" s="1" t="s">
        <v>51</v>
      </c>
      <c r="D565" s="1" t="s">
        <v>3737</v>
      </c>
      <c r="E565" s="1" t="s">
        <v>31</v>
      </c>
      <c r="F565" s="1" t="s">
        <v>31</v>
      </c>
      <c r="G565" s="1" t="s">
        <v>2024</v>
      </c>
      <c r="H565" s="1" t="s">
        <v>55</v>
      </c>
      <c r="I565" s="1" t="s">
        <v>3150</v>
      </c>
      <c r="J565" s="1">
        <v>1031.0</v>
      </c>
      <c r="K565" s="1" t="s">
        <v>31</v>
      </c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hidden="1" customHeight="1">
      <c r="A566" s="1">
        <v>2.1001084E7</v>
      </c>
      <c r="B566" s="1" t="s">
        <v>3764</v>
      </c>
      <c r="C566" s="1" t="s">
        <v>51</v>
      </c>
      <c r="D566" s="1" t="s">
        <v>3460</v>
      </c>
      <c r="E566" s="1" t="s">
        <v>31</v>
      </c>
      <c r="F566" s="1" t="s">
        <v>31</v>
      </c>
      <c r="G566" s="1" t="s">
        <v>2024</v>
      </c>
      <c r="H566" s="1" t="s">
        <v>55</v>
      </c>
      <c r="I566" s="1" t="s">
        <v>3150</v>
      </c>
      <c r="J566" s="1">
        <v>1031.0</v>
      </c>
      <c r="K566" s="1" t="s">
        <v>31</v>
      </c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hidden="1" customHeight="1">
      <c r="A567" s="1">
        <v>2.1001085E7</v>
      </c>
      <c r="B567" s="1" t="s">
        <v>3770</v>
      </c>
      <c r="C567" s="1" t="s">
        <v>51</v>
      </c>
      <c r="D567" s="1" t="s">
        <v>3460</v>
      </c>
      <c r="E567" s="1" t="s">
        <v>31</v>
      </c>
      <c r="F567" s="1" t="s">
        <v>31</v>
      </c>
      <c r="G567" s="1" t="s">
        <v>2024</v>
      </c>
      <c r="H567" s="1" t="s">
        <v>55</v>
      </c>
      <c r="I567" s="1" t="s">
        <v>3150</v>
      </c>
      <c r="J567" s="1">
        <v>1031.0</v>
      </c>
      <c r="K567" s="1" t="s">
        <v>31</v>
      </c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hidden="1" customHeight="1">
      <c r="A568" s="1">
        <v>2.1001087E7</v>
      </c>
      <c r="B568" s="1" t="s">
        <v>3771</v>
      </c>
      <c r="C568" s="1" t="s">
        <v>51</v>
      </c>
      <c r="D568" s="1" t="s">
        <v>3773</v>
      </c>
      <c r="E568" s="1" t="s">
        <v>3774</v>
      </c>
      <c r="F568" s="1" t="s">
        <v>3775</v>
      </c>
      <c r="G568" s="1" t="s">
        <v>2024</v>
      </c>
      <c r="H568" s="1" t="s">
        <v>412</v>
      </c>
      <c r="I568" s="1" t="s">
        <v>3150</v>
      </c>
      <c r="J568" s="1">
        <v>1001.0</v>
      </c>
      <c r="K568" s="1" t="s">
        <v>31</v>
      </c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hidden="1" customHeight="1">
      <c r="A569" s="1">
        <v>2.1001091E7</v>
      </c>
      <c r="B569" s="1" t="s">
        <v>2161</v>
      </c>
      <c r="C569" s="1" t="s">
        <v>51</v>
      </c>
      <c r="D569" s="1" t="s">
        <v>3779</v>
      </c>
      <c r="E569" s="1" t="s">
        <v>3780</v>
      </c>
      <c r="F569" s="1" t="s">
        <v>3781</v>
      </c>
      <c r="G569" s="1" t="s">
        <v>2024</v>
      </c>
      <c r="H569" s="1" t="s">
        <v>412</v>
      </c>
      <c r="I569" s="1" t="s">
        <v>3150</v>
      </c>
      <c r="J569" s="1">
        <v>1002.0</v>
      </c>
      <c r="K569" s="1" t="s">
        <v>31</v>
      </c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hidden="1" customHeight="1">
      <c r="A570" s="1">
        <v>2.1001092E7</v>
      </c>
      <c r="B570" s="1" t="s">
        <v>3461</v>
      </c>
      <c r="C570" s="1" t="s">
        <v>51</v>
      </c>
      <c r="D570" s="1" t="s">
        <v>3779</v>
      </c>
      <c r="E570" s="1" t="s">
        <v>3785</v>
      </c>
      <c r="F570" s="1" t="s">
        <v>3781</v>
      </c>
      <c r="G570" s="1" t="s">
        <v>2024</v>
      </c>
      <c r="H570" s="1" t="s">
        <v>412</v>
      </c>
      <c r="I570" s="1" t="s">
        <v>3150</v>
      </c>
      <c r="J570" s="1">
        <v>1002.0</v>
      </c>
      <c r="K570" s="1" t="s">
        <v>31</v>
      </c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hidden="1" customHeight="1">
      <c r="A571" s="1">
        <v>2.1001095E7</v>
      </c>
      <c r="B571" s="1" t="s">
        <v>3790</v>
      </c>
      <c r="C571" s="1" t="s">
        <v>51</v>
      </c>
      <c r="D571" s="1" t="s">
        <v>3792</v>
      </c>
      <c r="E571" s="1" t="s">
        <v>3793</v>
      </c>
      <c r="F571" s="1" t="s">
        <v>1852</v>
      </c>
      <c r="G571" s="1" t="s">
        <v>2024</v>
      </c>
      <c r="H571" s="1" t="s">
        <v>412</v>
      </c>
      <c r="I571" s="1" t="s">
        <v>3150</v>
      </c>
      <c r="J571" s="1">
        <v>1002.0</v>
      </c>
      <c r="K571" s="1" t="s">
        <v>31</v>
      </c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hidden="1" customHeight="1">
      <c r="A572" s="1">
        <v>2.1001099E7</v>
      </c>
      <c r="B572" s="1" t="s">
        <v>3796</v>
      </c>
      <c r="C572" s="1" t="s">
        <v>51</v>
      </c>
      <c r="D572" s="1" t="s">
        <v>3737</v>
      </c>
      <c r="E572" s="1" t="s">
        <v>3797</v>
      </c>
      <c r="F572" s="1" t="s">
        <v>3798</v>
      </c>
      <c r="G572" s="1" t="s">
        <v>2024</v>
      </c>
      <c r="H572" s="1" t="s">
        <v>412</v>
      </c>
      <c r="I572" s="1" t="s">
        <v>3150</v>
      </c>
      <c r="J572" s="1">
        <v>1031.0</v>
      </c>
      <c r="K572" s="1" t="s">
        <v>31</v>
      </c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hidden="1" customHeight="1">
      <c r="A573" s="1">
        <v>2.1001103E7</v>
      </c>
      <c r="B573" s="1" t="s">
        <v>3800</v>
      </c>
      <c r="C573" s="1" t="s">
        <v>51</v>
      </c>
      <c r="D573" s="1" t="s">
        <v>3801</v>
      </c>
      <c r="E573" s="1" t="s">
        <v>3802</v>
      </c>
      <c r="F573" s="1" t="s">
        <v>3803</v>
      </c>
      <c r="G573" s="1" t="s">
        <v>2024</v>
      </c>
      <c r="H573" s="1" t="s">
        <v>412</v>
      </c>
      <c r="I573" s="1" t="s">
        <v>3150</v>
      </c>
      <c r="J573" s="1">
        <v>1031.0</v>
      </c>
      <c r="K573" s="1" t="s">
        <v>31</v>
      </c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hidden="1" customHeight="1">
      <c r="A574" s="1">
        <v>2.1001104E7</v>
      </c>
      <c r="B574" s="1" t="s">
        <v>3804</v>
      </c>
      <c r="C574" s="1" t="s">
        <v>51</v>
      </c>
      <c r="D574" s="1" t="s">
        <v>3801</v>
      </c>
      <c r="E574" s="1" t="s">
        <v>3805</v>
      </c>
      <c r="F574" s="1" t="s">
        <v>3803</v>
      </c>
      <c r="G574" s="1" t="s">
        <v>2024</v>
      </c>
      <c r="H574" s="1" t="s">
        <v>412</v>
      </c>
      <c r="I574" s="1" t="s">
        <v>3150</v>
      </c>
      <c r="J574" s="1">
        <v>1031.0</v>
      </c>
      <c r="K574" s="1" t="s">
        <v>31</v>
      </c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hidden="1" customHeight="1">
      <c r="A575" s="1">
        <v>2.1001123E7</v>
      </c>
      <c r="B575" s="1" t="s">
        <v>3814</v>
      </c>
      <c r="C575" s="1" t="s">
        <v>51</v>
      </c>
      <c r="D575" s="1" t="s">
        <v>3542</v>
      </c>
      <c r="E575" s="1" t="s">
        <v>3816</v>
      </c>
      <c r="F575" s="1" t="s">
        <v>3545</v>
      </c>
      <c r="G575" s="1" t="s">
        <v>2024</v>
      </c>
      <c r="H575" s="1" t="s">
        <v>412</v>
      </c>
      <c r="I575" s="1" t="s">
        <v>3150</v>
      </c>
      <c r="J575" s="1">
        <v>1031.0</v>
      </c>
      <c r="K575" s="1" t="s">
        <v>31</v>
      </c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K$575">
    <filterColumn colId="8">
      <filters>
        <filter val="E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4.25"/>
  </cols>
  <sheetData>
    <row r="1" ht="14.25" customHeight="1">
      <c r="A1" s="10"/>
    </row>
    <row r="2" ht="14.25" customHeight="1"/>
    <row r="3" ht="14.25" customHeight="1">
      <c r="A3" s="13" t="s">
        <v>78</v>
      </c>
      <c r="B3" s="15">
        <v>46113.0</v>
      </c>
      <c r="C3" s="15">
        <v>46143.0</v>
      </c>
      <c r="D3" s="15">
        <v>46174.0</v>
      </c>
      <c r="E3" s="15">
        <v>46204.0</v>
      </c>
      <c r="F3" s="15">
        <v>46235.0</v>
      </c>
      <c r="G3" s="15">
        <v>46266.0</v>
      </c>
      <c r="H3" s="15">
        <v>46296.0</v>
      </c>
      <c r="I3" s="15">
        <v>46327.0</v>
      </c>
      <c r="J3" s="15">
        <v>46357.0</v>
      </c>
      <c r="K3" s="15">
        <v>46388.0</v>
      </c>
      <c r="L3" s="15">
        <v>46419.0</v>
      </c>
      <c r="M3" s="15">
        <v>46447.0</v>
      </c>
    </row>
    <row r="4" ht="14.25" customHeight="1">
      <c r="A4" s="13" t="s">
        <v>96</v>
      </c>
      <c r="B4" s="20">
        <v>8.0</v>
      </c>
      <c r="C4" s="20">
        <v>8.0</v>
      </c>
      <c r="D4" s="20">
        <v>8.0</v>
      </c>
      <c r="E4" s="20">
        <v>8.0</v>
      </c>
      <c r="F4" s="20">
        <v>8.0</v>
      </c>
      <c r="G4" s="20">
        <v>8.0</v>
      </c>
      <c r="H4" s="20">
        <v>8.0</v>
      </c>
      <c r="I4" s="20">
        <v>8.0</v>
      </c>
      <c r="J4" s="20">
        <v>8.0</v>
      </c>
      <c r="K4" s="20">
        <v>8.0</v>
      </c>
      <c r="L4" s="20">
        <v>8.0</v>
      </c>
      <c r="M4" s="20">
        <v>8.0</v>
      </c>
    </row>
    <row r="5" ht="14.25" customHeight="1">
      <c r="A5" s="13" t="s">
        <v>111</v>
      </c>
      <c r="B5" s="20">
        <v>3.0</v>
      </c>
      <c r="C5" s="20">
        <v>3.0</v>
      </c>
      <c r="D5" s="20">
        <v>3.0</v>
      </c>
      <c r="E5" s="20">
        <v>3.0</v>
      </c>
      <c r="F5" s="20">
        <v>3.0</v>
      </c>
      <c r="G5" s="20">
        <v>3.0</v>
      </c>
      <c r="H5" s="20">
        <v>3.0</v>
      </c>
      <c r="I5" s="20">
        <v>3.0</v>
      </c>
      <c r="J5" s="20">
        <v>3.0</v>
      </c>
      <c r="K5" s="20">
        <v>3.0</v>
      </c>
      <c r="L5" s="20">
        <v>3.0</v>
      </c>
      <c r="M5" s="20">
        <v>3.0</v>
      </c>
    </row>
    <row r="6" ht="14.25" customHeight="1">
      <c r="A6" s="13" t="s">
        <v>117</v>
      </c>
      <c r="B6" s="20">
        <v>0.0</v>
      </c>
      <c r="C6" s="20">
        <v>0.0</v>
      </c>
      <c r="D6" s="20">
        <v>0.0</v>
      </c>
      <c r="E6" s="20">
        <v>0.0</v>
      </c>
      <c r="F6" s="20">
        <v>0.0</v>
      </c>
      <c r="G6" s="20">
        <v>0.0</v>
      </c>
      <c r="H6" s="20">
        <v>0.0</v>
      </c>
      <c r="I6" s="20">
        <v>0.0</v>
      </c>
      <c r="J6" s="20">
        <v>0.0</v>
      </c>
      <c r="K6" s="20">
        <v>0.0</v>
      </c>
      <c r="L6" s="20">
        <v>0.0</v>
      </c>
      <c r="M6" s="20">
        <v>0.0</v>
      </c>
    </row>
    <row r="7" ht="14.25" customHeight="1">
      <c r="A7" s="13" t="s">
        <v>140</v>
      </c>
      <c r="B7" s="20">
        <v>0.0</v>
      </c>
      <c r="C7" s="20">
        <v>0.0</v>
      </c>
      <c r="D7" s="20">
        <v>0.0</v>
      </c>
      <c r="E7" s="20">
        <v>0.0</v>
      </c>
      <c r="F7" s="20">
        <v>0.0</v>
      </c>
      <c r="G7" s="20">
        <v>0.0</v>
      </c>
      <c r="H7" s="20">
        <v>0.0</v>
      </c>
      <c r="I7" s="20">
        <v>0.0</v>
      </c>
      <c r="J7" s="20">
        <v>0.0</v>
      </c>
      <c r="K7" s="20">
        <v>0.0</v>
      </c>
      <c r="L7" s="20">
        <v>0.0</v>
      </c>
      <c r="M7" s="20">
        <v>0.0</v>
      </c>
    </row>
    <row r="8" ht="14.25" customHeight="1">
      <c r="A8" s="13" t="s">
        <v>150</v>
      </c>
      <c r="B8" s="20">
        <v>0.0</v>
      </c>
      <c r="C8" s="20">
        <v>0.0</v>
      </c>
      <c r="D8" s="20">
        <v>0.0</v>
      </c>
      <c r="E8" s="20">
        <v>0.0</v>
      </c>
      <c r="F8" s="20">
        <v>0.0</v>
      </c>
      <c r="G8" s="20">
        <v>0.0</v>
      </c>
      <c r="H8" s="20">
        <v>0.0</v>
      </c>
      <c r="I8" s="20">
        <v>0.0</v>
      </c>
      <c r="J8" s="20">
        <v>0.0</v>
      </c>
      <c r="K8" s="20">
        <v>0.0</v>
      </c>
      <c r="L8" s="20">
        <v>0.0</v>
      </c>
      <c r="M8" s="20">
        <v>0.0</v>
      </c>
    </row>
    <row r="9" ht="14.25" customHeight="1">
      <c r="A9" s="13" t="s">
        <v>152</v>
      </c>
      <c r="B9" s="20">
        <v>24.0</v>
      </c>
      <c r="C9" s="20">
        <v>24.0</v>
      </c>
      <c r="D9" s="20">
        <v>24.0</v>
      </c>
      <c r="E9" s="20">
        <v>24.0</v>
      </c>
      <c r="F9" s="20">
        <v>24.0</v>
      </c>
      <c r="G9" s="20">
        <v>24.0</v>
      </c>
      <c r="H9" s="20">
        <v>24.0</v>
      </c>
      <c r="I9" s="20">
        <v>24.0</v>
      </c>
      <c r="J9" s="20">
        <v>24.0</v>
      </c>
      <c r="K9" s="20">
        <v>24.0</v>
      </c>
      <c r="L9" s="20">
        <v>24.0</v>
      </c>
      <c r="M9" s="20">
        <v>24.0</v>
      </c>
    </row>
    <row r="10" ht="14.25" customHeight="1">
      <c r="A10" s="13" t="s">
        <v>157</v>
      </c>
      <c r="B10" s="20">
        <v>30.0</v>
      </c>
      <c r="C10" s="20">
        <v>31.0</v>
      </c>
      <c r="D10" s="20">
        <v>30.0</v>
      </c>
      <c r="E10" s="20">
        <v>31.0</v>
      </c>
      <c r="F10" s="20">
        <v>31.0</v>
      </c>
      <c r="G10" s="20">
        <v>30.0</v>
      </c>
      <c r="H10" s="20">
        <v>31.0</v>
      </c>
      <c r="I10" s="20">
        <v>30.0</v>
      </c>
      <c r="J10" s="20">
        <v>31.0</v>
      </c>
      <c r="K10" s="20">
        <v>31.0</v>
      </c>
      <c r="L10" s="20">
        <v>28.0</v>
      </c>
      <c r="M10" s="20">
        <v>31.0</v>
      </c>
    </row>
    <row r="11" ht="14.25" customHeight="1">
      <c r="A11" s="13" t="s">
        <v>169</v>
      </c>
      <c r="B11" s="20">
        <v>720.0</v>
      </c>
      <c r="C11" s="20">
        <v>744.0</v>
      </c>
      <c r="D11" s="20">
        <v>720.0</v>
      </c>
      <c r="E11" s="20">
        <v>744.0</v>
      </c>
      <c r="F11" s="20">
        <v>744.0</v>
      </c>
      <c r="G11" s="20">
        <v>720.0</v>
      </c>
      <c r="H11" s="20">
        <v>744.0</v>
      </c>
      <c r="I11" s="20">
        <v>720.0</v>
      </c>
      <c r="J11" s="20">
        <v>744.0</v>
      </c>
      <c r="K11" s="20">
        <v>744.0</v>
      </c>
      <c r="L11" s="20">
        <v>672.0</v>
      </c>
      <c r="M11" s="20">
        <v>744.0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3.38"/>
  </cols>
  <sheetData>
    <row r="1" ht="14.25" customHeight="1"/>
    <row r="2" ht="14.25" customHeight="1"/>
    <row r="3" ht="14.25" customHeight="1">
      <c r="A3" s="13" t="s">
        <v>78</v>
      </c>
      <c r="B3" s="15">
        <v>46113.0</v>
      </c>
      <c r="C3" s="15">
        <v>46143.0</v>
      </c>
      <c r="D3" s="15">
        <v>46174.0</v>
      </c>
      <c r="E3" s="15">
        <v>46204.0</v>
      </c>
      <c r="F3" s="15">
        <v>46235.0</v>
      </c>
      <c r="G3" s="15">
        <v>46266.0</v>
      </c>
      <c r="H3" s="15">
        <v>46296.0</v>
      </c>
      <c r="I3" s="15">
        <v>46327.0</v>
      </c>
      <c r="J3" s="15">
        <v>46357.0</v>
      </c>
      <c r="K3" s="15">
        <v>46388.0</v>
      </c>
      <c r="L3" s="15">
        <v>46419.0</v>
      </c>
      <c r="M3" s="15">
        <v>46447.0</v>
      </c>
    </row>
    <row r="4" ht="14.25" customHeight="1">
      <c r="A4" s="13" t="s">
        <v>96</v>
      </c>
      <c r="B4" s="20">
        <v>8.0</v>
      </c>
      <c r="C4" s="20">
        <v>8.0</v>
      </c>
      <c r="D4" s="20">
        <v>8.0</v>
      </c>
      <c r="E4" s="20">
        <v>8.0</v>
      </c>
      <c r="F4" s="20">
        <v>8.0</v>
      </c>
      <c r="G4" s="20">
        <v>8.0</v>
      </c>
      <c r="H4" s="20">
        <v>8.0</v>
      </c>
      <c r="I4" s="20">
        <v>8.0</v>
      </c>
      <c r="J4" s="20">
        <v>8.0</v>
      </c>
      <c r="K4" s="20">
        <v>8.0</v>
      </c>
      <c r="L4" s="20">
        <v>8.0</v>
      </c>
      <c r="M4" s="20">
        <v>8.0</v>
      </c>
    </row>
    <row r="5" ht="14.25" customHeight="1">
      <c r="A5" s="13" t="s">
        <v>111</v>
      </c>
      <c r="B5" s="20">
        <v>2.0</v>
      </c>
      <c r="C5" s="20">
        <v>2.0</v>
      </c>
      <c r="D5" s="20">
        <v>2.0</v>
      </c>
      <c r="E5" s="20">
        <v>2.0</v>
      </c>
      <c r="F5" s="20">
        <v>2.0</v>
      </c>
      <c r="G5" s="20">
        <v>2.0</v>
      </c>
      <c r="H5" s="20">
        <v>2.0</v>
      </c>
      <c r="I5" s="20">
        <v>2.0</v>
      </c>
      <c r="J5" s="20">
        <v>2.0</v>
      </c>
      <c r="K5" s="20">
        <v>2.0</v>
      </c>
      <c r="L5" s="20">
        <v>2.0</v>
      </c>
      <c r="M5" s="20">
        <v>2.0</v>
      </c>
    </row>
    <row r="6" ht="14.25" customHeight="1">
      <c r="A6" s="13" t="s">
        <v>117</v>
      </c>
      <c r="B6" s="20">
        <v>2.0</v>
      </c>
      <c r="C6" s="20">
        <v>2.0</v>
      </c>
      <c r="D6" s="20">
        <v>2.0</v>
      </c>
      <c r="E6" s="20">
        <v>2.0</v>
      </c>
      <c r="F6" s="20">
        <v>2.0</v>
      </c>
      <c r="G6" s="20">
        <v>2.0</v>
      </c>
      <c r="H6" s="20">
        <v>2.0</v>
      </c>
      <c r="I6" s="20">
        <v>2.0</v>
      </c>
      <c r="J6" s="20">
        <v>2.0</v>
      </c>
      <c r="K6" s="20">
        <v>2.0</v>
      </c>
      <c r="L6" s="20">
        <v>2.0</v>
      </c>
      <c r="M6" s="20">
        <v>2.0</v>
      </c>
    </row>
    <row r="7" ht="14.25" customHeight="1">
      <c r="A7" s="13" t="s">
        <v>140</v>
      </c>
      <c r="B7" s="20">
        <v>0.5</v>
      </c>
      <c r="C7" s="20">
        <v>0.5</v>
      </c>
      <c r="D7" s="20">
        <v>0.5</v>
      </c>
      <c r="E7" s="20">
        <v>0.5</v>
      </c>
      <c r="F7" s="20">
        <v>0.5</v>
      </c>
      <c r="G7" s="20">
        <v>0.5</v>
      </c>
      <c r="H7" s="20">
        <v>0.5</v>
      </c>
      <c r="I7" s="20">
        <v>0.5</v>
      </c>
      <c r="J7" s="20">
        <v>0.5</v>
      </c>
      <c r="K7" s="20">
        <v>0.5</v>
      </c>
      <c r="L7" s="20">
        <v>0.5</v>
      </c>
      <c r="M7" s="20">
        <v>0.5</v>
      </c>
    </row>
    <row r="8" ht="14.25" customHeight="1">
      <c r="A8" s="13" t="s">
        <v>150</v>
      </c>
      <c r="B8" s="20">
        <v>2.5</v>
      </c>
      <c r="C8" s="20">
        <v>2.5</v>
      </c>
      <c r="D8" s="20">
        <v>2.5</v>
      </c>
      <c r="E8" s="20">
        <v>2.5</v>
      </c>
      <c r="F8" s="20">
        <v>2.5</v>
      </c>
      <c r="G8" s="20">
        <v>2.5</v>
      </c>
      <c r="H8" s="20">
        <v>2.5</v>
      </c>
      <c r="I8" s="20">
        <v>2.5</v>
      </c>
      <c r="J8" s="20">
        <v>2.5</v>
      </c>
      <c r="K8" s="20">
        <v>2.5</v>
      </c>
      <c r="L8" s="20">
        <v>2.5</v>
      </c>
      <c r="M8" s="20">
        <v>2.5</v>
      </c>
    </row>
    <row r="9" ht="14.25" customHeight="1">
      <c r="A9" s="13" t="s">
        <v>152</v>
      </c>
      <c r="B9" s="20">
        <v>13.5</v>
      </c>
      <c r="C9" s="20">
        <v>13.5</v>
      </c>
      <c r="D9" s="20">
        <v>13.5</v>
      </c>
      <c r="E9" s="20">
        <v>13.5</v>
      </c>
      <c r="F9" s="20">
        <v>13.5</v>
      </c>
      <c r="G9" s="20">
        <v>13.5</v>
      </c>
      <c r="H9" s="20">
        <v>13.5</v>
      </c>
      <c r="I9" s="20">
        <v>13.5</v>
      </c>
      <c r="J9" s="20">
        <v>13.5</v>
      </c>
      <c r="K9" s="20">
        <v>13.5</v>
      </c>
      <c r="L9" s="20">
        <v>13.5</v>
      </c>
      <c r="M9" s="20">
        <v>13.5</v>
      </c>
    </row>
    <row r="10" ht="14.25" customHeight="1">
      <c r="A10" s="13" t="s">
        <v>157</v>
      </c>
      <c r="B10" s="20">
        <v>30.0</v>
      </c>
      <c r="C10" s="20">
        <v>31.0</v>
      </c>
      <c r="D10" s="20">
        <v>30.0</v>
      </c>
      <c r="E10" s="20">
        <v>31.0</v>
      </c>
      <c r="F10" s="20">
        <v>31.0</v>
      </c>
      <c r="G10" s="20">
        <v>30.0</v>
      </c>
      <c r="H10" s="20">
        <v>31.0</v>
      </c>
      <c r="I10" s="20">
        <v>30.0</v>
      </c>
      <c r="J10" s="20">
        <v>31.0</v>
      </c>
      <c r="K10" s="20">
        <v>31.0</v>
      </c>
      <c r="L10" s="20">
        <v>28.0</v>
      </c>
      <c r="M10" s="20">
        <v>31.0</v>
      </c>
    </row>
    <row r="11" ht="14.25" customHeight="1">
      <c r="A11" s="13" t="s">
        <v>169</v>
      </c>
      <c r="B11" s="20">
        <v>405.0</v>
      </c>
      <c r="C11" s="20">
        <v>418.5</v>
      </c>
      <c r="D11" s="20">
        <v>405.0</v>
      </c>
      <c r="E11" s="20">
        <v>418.5</v>
      </c>
      <c r="F11" s="20">
        <v>418.5</v>
      </c>
      <c r="G11" s="20">
        <v>405.0</v>
      </c>
      <c r="H11" s="20">
        <v>418.5</v>
      </c>
      <c r="I11" s="20">
        <v>405.0</v>
      </c>
      <c r="J11" s="20">
        <v>418.5</v>
      </c>
      <c r="K11" s="20">
        <v>418.5</v>
      </c>
      <c r="L11" s="20">
        <v>378.0</v>
      </c>
      <c r="M11" s="20">
        <v>418.5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3" width="9.5"/>
    <col customWidth="1" min="4" max="4" width="41.13"/>
    <col customWidth="1" min="5" max="5" width="20.75"/>
    <col customWidth="1" min="6" max="6" width="42.5"/>
    <col customWidth="1" min="7" max="7" width="5.13"/>
    <col customWidth="1" min="8" max="8" width="7.38"/>
    <col customWidth="1" min="9" max="10" width="10.13"/>
    <col customWidth="1" min="11" max="11" width="10.25"/>
    <col customWidth="1" min="12" max="12" width="11.13"/>
    <col customWidth="1" min="13" max="13" width="7.75"/>
    <col customWidth="1" min="14" max="14" width="5.5"/>
    <col customWidth="1" min="15" max="15" width="16.13"/>
    <col customWidth="1" min="16" max="16" width="7.38"/>
    <col customWidth="1" min="17" max="17" width="5.5"/>
    <col customWidth="1" min="18" max="18" width="12.38"/>
    <col customWidth="1" min="19" max="19" width="5.0"/>
    <col customWidth="1" min="20" max="20" width="9.75"/>
    <col customWidth="1" min="21" max="21" width="1.0"/>
    <col customWidth="1" min="22" max="26" width="8.63"/>
  </cols>
  <sheetData>
    <row r="1" ht="14.25" customHeight="1">
      <c r="A1" s="1" t="s">
        <v>4</v>
      </c>
      <c r="B1" s="1" t="s">
        <v>2</v>
      </c>
      <c r="C1" s="1" t="s">
        <v>3</v>
      </c>
      <c r="D1" s="1" t="s">
        <v>6</v>
      </c>
      <c r="E1" s="1" t="s">
        <v>701</v>
      </c>
      <c r="F1" s="1" t="s">
        <v>702</v>
      </c>
      <c r="G1" s="1" t="s">
        <v>16</v>
      </c>
      <c r="H1" s="1" t="s">
        <v>703</v>
      </c>
      <c r="I1" s="1" t="s">
        <v>704</v>
      </c>
      <c r="J1" s="1" t="s">
        <v>705</v>
      </c>
      <c r="K1" s="1" t="s">
        <v>706</v>
      </c>
      <c r="L1" s="1" t="s">
        <v>707</v>
      </c>
      <c r="M1" s="1" t="s">
        <v>27</v>
      </c>
      <c r="N1" s="1" t="s">
        <v>708</v>
      </c>
      <c r="O1" s="1" t="s">
        <v>710</v>
      </c>
      <c r="P1" s="1" t="s">
        <v>711</v>
      </c>
      <c r="Q1" s="1" t="s">
        <v>712</v>
      </c>
      <c r="R1" s="1" t="s">
        <v>714</v>
      </c>
      <c r="S1" s="1" t="s">
        <v>17</v>
      </c>
      <c r="T1" s="1" t="s">
        <v>716</v>
      </c>
      <c r="U1" s="1" t="s">
        <v>31</v>
      </c>
      <c r="V1" s="5"/>
      <c r="W1" s="5"/>
      <c r="X1" s="5"/>
      <c r="Y1" s="5"/>
      <c r="Z1" s="5"/>
    </row>
    <row r="2" ht="14.25" hidden="1" customHeight="1">
      <c r="A2" s="1" t="s">
        <v>720</v>
      </c>
      <c r="B2" s="1">
        <v>1.1000093E7</v>
      </c>
      <c r="C2" s="1" t="str">
        <f>VLOOKUP(B2,Equipment!A$1:J$470,9,0)</f>
        <v>E</v>
      </c>
      <c r="D2" s="1" t="s">
        <v>306</v>
      </c>
      <c r="E2" s="1">
        <v>1501.0</v>
      </c>
      <c r="F2" s="1" t="s">
        <v>731</v>
      </c>
      <c r="G2" s="1" t="s">
        <v>732</v>
      </c>
      <c r="H2" s="1" t="s">
        <v>31</v>
      </c>
      <c r="I2" s="1" t="s">
        <v>735</v>
      </c>
      <c r="J2" s="1" t="s">
        <v>735</v>
      </c>
      <c r="K2" s="1" t="s">
        <v>735</v>
      </c>
      <c r="L2" s="1" t="s">
        <v>736</v>
      </c>
      <c r="M2" s="1" t="s">
        <v>51</v>
      </c>
      <c r="N2" s="1" t="s">
        <v>737</v>
      </c>
      <c r="O2" s="1" t="s">
        <v>31</v>
      </c>
      <c r="P2" s="1" t="s">
        <v>740</v>
      </c>
      <c r="Q2" s="1" t="s">
        <v>741</v>
      </c>
      <c r="R2" s="1" t="s">
        <v>743</v>
      </c>
      <c r="S2" s="1" t="s">
        <v>745</v>
      </c>
      <c r="T2" s="1" t="s">
        <v>747</v>
      </c>
      <c r="U2" s="1" t="s">
        <v>31</v>
      </c>
      <c r="V2" s="5"/>
      <c r="W2" s="5"/>
      <c r="X2" s="5"/>
      <c r="Y2" s="5"/>
      <c r="Z2" s="5"/>
    </row>
    <row r="3" ht="14.25" hidden="1" customHeight="1">
      <c r="A3" s="1" t="s">
        <v>748</v>
      </c>
      <c r="B3" s="1">
        <v>1.1000094E7</v>
      </c>
      <c r="C3" s="1" t="str">
        <f>VLOOKUP(B3,Equipment!A$1:J$470,9,0)</f>
        <v>E</v>
      </c>
      <c r="D3" s="1" t="s">
        <v>312</v>
      </c>
      <c r="E3" s="1">
        <v>1501.0</v>
      </c>
      <c r="F3" s="1" t="s">
        <v>731</v>
      </c>
      <c r="G3" s="1" t="s">
        <v>732</v>
      </c>
      <c r="H3" s="1" t="s">
        <v>31</v>
      </c>
      <c r="I3" s="1" t="s">
        <v>735</v>
      </c>
      <c r="J3" s="1" t="s">
        <v>735</v>
      </c>
      <c r="K3" s="1" t="s">
        <v>735</v>
      </c>
      <c r="L3" s="1" t="s">
        <v>736</v>
      </c>
      <c r="M3" s="1" t="s">
        <v>51</v>
      </c>
      <c r="N3" s="1" t="s">
        <v>737</v>
      </c>
      <c r="O3" s="1" t="s">
        <v>31</v>
      </c>
      <c r="P3" s="1" t="s">
        <v>761</v>
      </c>
      <c r="Q3" s="1" t="s">
        <v>741</v>
      </c>
      <c r="R3" s="1" t="s">
        <v>743</v>
      </c>
      <c r="S3" s="1" t="s">
        <v>745</v>
      </c>
      <c r="T3" s="1" t="s">
        <v>747</v>
      </c>
      <c r="U3" s="1" t="s">
        <v>31</v>
      </c>
      <c r="V3" s="5"/>
      <c r="W3" s="5"/>
      <c r="X3" s="5"/>
      <c r="Y3" s="5"/>
      <c r="Z3" s="5"/>
    </row>
    <row r="4" ht="14.25" hidden="1" customHeight="1">
      <c r="A4" s="1" t="s">
        <v>762</v>
      </c>
      <c r="B4" s="1">
        <v>1.1000229E7</v>
      </c>
      <c r="C4" s="1" t="str">
        <f>VLOOKUP(B4,Equipment!A$1:J$470,9,0)</f>
        <v>E</v>
      </c>
      <c r="D4" s="1" t="s">
        <v>492</v>
      </c>
      <c r="E4" s="1">
        <v>2001.0</v>
      </c>
      <c r="F4" s="1" t="s">
        <v>766</v>
      </c>
      <c r="G4" s="1" t="s">
        <v>767</v>
      </c>
      <c r="H4" s="1" t="s">
        <v>768</v>
      </c>
      <c r="I4" s="1" t="s">
        <v>735</v>
      </c>
      <c r="J4" s="1" t="s">
        <v>735</v>
      </c>
      <c r="K4" s="1" t="s">
        <v>735</v>
      </c>
      <c r="L4" s="1" t="s">
        <v>774</v>
      </c>
      <c r="M4" s="1" t="s">
        <v>51</v>
      </c>
      <c r="N4" s="1" t="s">
        <v>737</v>
      </c>
      <c r="O4" s="1" t="s">
        <v>31</v>
      </c>
      <c r="P4" s="1" t="s">
        <v>776</v>
      </c>
      <c r="Q4" s="1" t="s">
        <v>777</v>
      </c>
      <c r="R4" s="1" t="s">
        <v>778</v>
      </c>
      <c r="S4" s="1" t="s">
        <v>779</v>
      </c>
      <c r="T4" s="1" t="s">
        <v>781</v>
      </c>
      <c r="U4" s="1" t="s">
        <v>31</v>
      </c>
      <c r="V4" s="5"/>
      <c r="W4" s="5"/>
      <c r="X4" s="5"/>
      <c r="Y4" s="5"/>
      <c r="Z4" s="5"/>
    </row>
    <row r="5" ht="14.25" hidden="1" customHeight="1">
      <c r="A5" s="1" t="s">
        <v>783</v>
      </c>
      <c r="B5" s="1">
        <v>1.1000229E7</v>
      </c>
      <c r="C5" s="1" t="str">
        <f>VLOOKUP(B5,Equipment!A$1:J$470,9,0)</f>
        <v>E</v>
      </c>
      <c r="D5" s="1" t="s">
        <v>492</v>
      </c>
      <c r="E5" s="1">
        <v>2001.0</v>
      </c>
      <c r="F5" s="1" t="s">
        <v>785</v>
      </c>
      <c r="G5" s="1" t="s">
        <v>767</v>
      </c>
      <c r="H5" s="1" t="s">
        <v>768</v>
      </c>
      <c r="I5" s="1" t="s">
        <v>735</v>
      </c>
      <c r="J5" s="1" t="s">
        <v>735</v>
      </c>
      <c r="K5" s="1" t="s">
        <v>735</v>
      </c>
      <c r="L5" s="1" t="s">
        <v>774</v>
      </c>
      <c r="M5" s="1" t="s">
        <v>51</v>
      </c>
      <c r="N5" s="1" t="s">
        <v>737</v>
      </c>
      <c r="O5" s="1" t="s">
        <v>31</v>
      </c>
      <c r="P5" s="1" t="s">
        <v>789</v>
      </c>
      <c r="Q5" s="1" t="s">
        <v>777</v>
      </c>
      <c r="R5" s="1" t="s">
        <v>778</v>
      </c>
      <c r="S5" s="1" t="s">
        <v>779</v>
      </c>
      <c r="T5" s="1" t="s">
        <v>781</v>
      </c>
      <c r="U5" s="1" t="s">
        <v>31</v>
      </c>
      <c r="V5" s="5"/>
      <c r="W5" s="5"/>
      <c r="X5" s="5"/>
      <c r="Y5" s="5"/>
      <c r="Z5" s="5"/>
    </row>
    <row r="6" ht="14.25" hidden="1" customHeight="1">
      <c r="A6" s="1" t="s">
        <v>792</v>
      </c>
      <c r="B6" s="1">
        <v>1.1000255E7</v>
      </c>
      <c r="C6" s="1" t="str">
        <f>VLOOKUP(B6,Equipment!A$1:J$470,9,0)</f>
        <v>E</v>
      </c>
      <c r="D6" s="1" t="s">
        <v>517</v>
      </c>
      <c r="E6" s="1">
        <v>2001.0</v>
      </c>
      <c r="F6" s="1" t="s">
        <v>785</v>
      </c>
      <c r="G6" s="1" t="s">
        <v>131</v>
      </c>
      <c r="H6" s="1" t="s">
        <v>768</v>
      </c>
      <c r="I6" s="1" t="s">
        <v>735</v>
      </c>
      <c r="J6" s="1" t="s">
        <v>735</v>
      </c>
      <c r="K6" s="1" t="s">
        <v>735</v>
      </c>
      <c r="L6" s="1" t="s">
        <v>811</v>
      </c>
      <c r="M6" s="1" t="s">
        <v>51</v>
      </c>
      <c r="N6" s="1" t="s">
        <v>737</v>
      </c>
      <c r="O6" s="1" t="s">
        <v>31</v>
      </c>
      <c r="P6" s="1" t="s">
        <v>812</v>
      </c>
      <c r="Q6" s="1" t="s">
        <v>777</v>
      </c>
      <c r="R6" s="1" t="s">
        <v>814</v>
      </c>
      <c r="S6" s="1" t="s">
        <v>779</v>
      </c>
      <c r="T6" s="1" t="s">
        <v>816</v>
      </c>
      <c r="U6" s="1" t="s">
        <v>31</v>
      </c>
      <c r="V6" s="5"/>
      <c r="W6" s="5"/>
      <c r="X6" s="5"/>
      <c r="Y6" s="5"/>
      <c r="Z6" s="5"/>
    </row>
    <row r="7" ht="14.25" hidden="1" customHeight="1">
      <c r="A7" s="1" t="s">
        <v>818</v>
      </c>
      <c r="B7" s="1">
        <v>1.1000255E7</v>
      </c>
      <c r="C7" s="1" t="str">
        <f>VLOOKUP(B7,Equipment!A$1:J$470,9,0)</f>
        <v>E</v>
      </c>
      <c r="D7" s="1" t="s">
        <v>517</v>
      </c>
      <c r="E7" s="1">
        <v>2001.0</v>
      </c>
      <c r="F7" s="1" t="s">
        <v>766</v>
      </c>
      <c r="G7" s="1" t="s">
        <v>131</v>
      </c>
      <c r="H7" s="1" t="s">
        <v>768</v>
      </c>
      <c r="I7" s="1" t="s">
        <v>735</v>
      </c>
      <c r="J7" s="1" t="s">
        <v>735</v>
      </c>
      <c r="K7" s="1" t="s">
        <v>735</v>
      </c>
      <c r="L7" s="1" t="s">
        <v>811</v>
      </c>
      <c r="M7" s="1" t="s">
        <v>51</v>
      </c>
      <c r="N7" s="1" t="s">
        <v>737</v>
      </c>
      <c r="O7" s="1" t="s">
        <v>31</v>
      </c>
      <c r="P7" s="1" t="s">
        <v>828</v>
      </c>
      <c r="Q7" s="1" t="s">
        <v>777</v>
      </c>
      <c r="R7" s="1" t="s">
        <v>814</v>
      </c>
      <c r="S7" s="1" t="s">
        <v>779</v>
      </c>
      <c r="T7" s="1" t="s">
        <v>816</v>
      </c>
      <c r="U7" s="1" t="s">
        <v>31</v>
      </c>
      <c r="V7" s="5"/>
      <c r="W7" s="5"/>
      <c r="X7" s="5"/>
      <c r="Y7" s="5"/>
      <c r="Z7" s="5"/>
    </row>
    <row r="8" ht="14.25" hidden="1" customHeight="1">
      <c r="A8" s="1" t="s">
        <v>830</v>
      </c>
      <c r="B8" s="1">
        <v>1.1000315E7</v>
      </c>
      <c r="C8" s="1" t="str">
        <f>VLOOKUP(B8,Equipment!A$1:J$470,9,0)</f>
        <v>E</v>
      </c>
      <c r="D8" s="1" t="s">
        <v>661</v>
      </c>
      <c r="E8" s="1">
        <v>2001.0</v>
      </c>
      <c r="F8" s="1" t="s">
        <v>785</v>
      </c>
      <c r="G8" s="1" t="s">
        <v>121</v>
      </c>
      <c r="H8" s="1" t="s">
        <v>768</v>
      </c>
      <c r="I8" s="1" t="s">
        <v>735</v>
      </c>
      <c r="J8" s="1" t="s">
        <v>735</v>
      </c>
      <c r="K8" s="1" t="s">
        <v>735</v>
      </c>
      <c r="L8" s="1" t="s">
        <v>841</v>
      </c>
      <c r="M8" s="1" t="s">
        <v>51</v>
      </c>
      <c r="N8" s="1" t="s">
        <v>737</v>
      </c>
      <c r="O8" s="1" t="s">
        <v>31</v>
      </c>
      <c r="P8" s="1" t="s">
        <v>789</v>
      </c>
      <c r="Q8" s="1" t="s">
        <v>777</v>
      </c>
      <c r="R8" s="1" t="s">
        <v>842</v>
      </c>
      <c r="S8" s="1" t="s">
        <v>779</v>
      </c>
      <c r="T8" s="1" t="s">
        <v>843</v>
      </c>
      <c r="U8" s="1" t="s">
        <v>31</v>
      </c>
      <c r="V8" s="5"/>
      <c r="W8" s="5"/>
      <c r="X8" s="5"/>
      <c r="Y8" s="5"/>
      <c r="Z8" s="5"/>
    </row>
    <row r="9" ht="14.25" hidden="1" customHeight="1">
      <c r="A9" s="1" t="s">
        <v>844</v>
      </c>
      <c r="B9" s="1">
        <v>1.1000315E7</v>
      </c>
      <c r="C9" s="1" t="str">
        <f>VLOOKUP(B9,Equipment!A$1:J$470,9,0)</f>
        <v>E</v>
      </c>
      <c r="D9" s="1" t="s">
        <v>661</v>
      </c>
      <c r="E9" s="1">
        <v>2001.0</v>
      </c>
      <c r="F9" s="1" t="s">
        <v>846</v>
      </c>
      <c r="G9" s="1" t="s">
        <v>121</v>
      </c>
      <c r="H9" s="1" t="s">
        <v>768</v>
      </c>
      <c r="I9" s="1" t="s">
        <v>735</v>
      </c>
      <c r="J9" s="1" t="s">
        <v>735</v>
      </c>
      <c r="K9" s="1" t="s">
        <v>735</v>
      </c>
      <c r="L9" s="1" t="s">
        <v>841</v>
      </c>
      <c r="M9" s="1" t="s">
        <v>51</v>
      </c>
      <c r="N9" s="1" t="s">
        <v>737</v>
      </c>
      <c r="O9" s="1" t="s">
        <v>31</v>
      </c>
      <c r="P9" s="1" t="s">
        <v>850</v>
      </c>
      <c r="Q9" s="1" t="s">
        <v>777</v>
      </c>
      <c r="R9" s="1" t="s">
        <v>842</v>
      </c>
      <c r="S9" s="1" t="s">
        <v>779</v>
      </c>
      <c r="T9" s="1" t="s">
        <v>843</v>
      </c>
      <c r="U9" s="1" t="s">
        <v>31</v>
      </c>
      <c r="V9" s="5"/>
      <c r="W9" s="5"/>
      <c r="X9" s="5"/>
      <c r="Y9" s="5"/>
      <c r="Z9" s="5"/>
    </row>
    <row r="10" ht="14.25" hidden="1" customHeight="1">
      <c r="A10" s="1" t="s">
        <v>854</v>
      </c>
      <c r="B10" s="1">
        <v>1.1000315E7</v>
      </c>
      <c r="C10" s="1" t="str">
        <f>VLOOKUP(B10,Equipment!A$1:J$470,9,0)</f>
        <v>E</v>
      </c>
      <c r="D10" s="1" t="s">
        <v>661</v>
      </c>
      <c r="E10" s="1">
        <v>2001.0</v>
      </c>
      <c r="F10" s="1" t="s">
        <v>857</v>
      </c>
      <c r="G10" s="1" t="s">
        <v>121</v>
      </c>
      <c r="H10" s="1" t="s">
        <v>768</v>
      </c>
      <c r="I10" s="1" t="s">
        <v>735</v>
      </c>
      <c r="J10" s="1" t="s">
        <v>735</v>
      </c>
      <c r="K10" s="1" t="s">
        <v>735</v>
      </c>
      <c r="L10" s="1" t="s">
        <v>841</v>
      </c>
      <c r="M10" s="1" t="s">
        <v>51</v>
      </c>
      <c r="N10" s="1" t="s">
        <v>737</v>
      </c>
      <c r="O10" s="1" t="s">
        <v>31</v>
      </c>
      <c r="P10" s="1" t="s">
        <v>859</v>
      </c>
      <c r="Q10" s="1" t="s">
        <v>777</v>
      </c>
      <c r="R10" s="1" t="s">
        <v>842</v>
      </c>
      <c r="S10" s="1" t="s">
        <v>779</v>
      </c>
      <c r="T10" s="1" t="s">
        <v>843</v>
      </c>
      <c r="U10" s="1" t="s">
        <v>31</v>
      </c>
      <c r="V10" s="5"/>
      <c r="W10" s="5"/>
      <c r="X10" s="5"/>
      <c r="Y10" s="5"/>
      <c r="Z10" s="5"/>
    </row>
    <row r="11" ht="14.25" hidden="1" customHeight="1">
      <c r="A11" s="1" t="s">
        <v>860</v>
      </c>
      <c r="B11" s="1">
        <v>1.1000325E7</v>
      </c>
      <c r="C11" s="1" t="str">
        <f>VLOOKUP(B11,Equipment!A$1:J$470,9,0)</f>
        <v>E</v>
      </c>
      <c r="D11" s="1" t="s">
        <v>681</v>
      </c>
      <c r="E11" s="1">
        <v>2001.0</v>
      </c>
      <c r="F11" s="1" t="s">
        <v>766</v>
      </c>
      <c r="G11" s="1" t="s">
        <v>131</v>
      </c>
      <c r="H11" s="1" t="s">
        <v>768</v>
      </c>
      <c r="I11" s="1" t="s">
        <v>735</v>
      </c>
      <c r="J11" s="1" t="s">
        <v>735</v>
      </c>
      <c r="K11" s="1" t="s">
        <v>735</v>
      </c>
      <c r="L11" s="1" t="s">
        <v>870</v>
      </c>
      <c r="M11" s="1" t="s">
        <v>51</v>
      </c>
      <c r="N11" s="1" t="s">
        <v>737</v>
      </c>
      <c r="O11" s="1" t="s">
        <v>31</v>
      </c>
      <c r="P11" s="1" t="s">
        <v>776</v>
      </c>
      <c r="Q11" s="1" t="s">
        <v>777</v>
      </c>
      <c r="R11" s="1" t="s">
        <v>874</v>
      </c>
      <c r="S11" s="1" t="s">
        <v>779</v>
      </c>
      <c r="T11" s="1" t="s">
        <v>875</v>
      </c>
      <c r="U11" s="1" t="s">
        <v>31</v>
      </c>
      <c r="V11" s="5"/>
      <c r="W11" s="5"/>
      <c r="X11" s="5"/>
      <c r="Y11" s="5"/>
      <c r="Z11" s="5"/>
    </row>
    <row r="12" ht="14.25" hidden="1" customHeight="1">
      <c r="A12" s="1" t="s">
        <v>876</v>
      </c>
      <c r="B12" s="1">
        <v>1.1000325E7</v>
      </c>
      <c r="C12" s="1" t="str">
        <f>VLOOKUP(B12,Equipment!A$1:J$470,9,0)</f>
        <v>E</v>
      </c>
      <c r="D12" s="1" t="s">
        <v>681</v>
      </c>
      <c r="E12" s="1">
        <v>2001.0</v>
      </c>
      <c r="F12" s="1" t="s">
        <v>846</v>
      </c>
      <c r="G12" s="1" t="s">
        <v>131</v>
      </c>
      <c r="H12" s="1" t="s">
        <v>768</v>
      </c>
      <c r="I12" s="1" t="s">
        <v>735</v>
      </c>
      <c r="J12" s="1" t="s">
        <v>735</v>
      </c>
      <c r="K12" s="1" t="s">
        <v>735</v>
      </c>
      <c r="L12" s="1" t="s">
        <v>870</v>
      </c>
      <c r="M12" s="1" t="s">
        <v>51</v>
      </c>
      <c r="N12" s="1" t="s">
        <v>737</v>
      </c>
      <c r="O12" s="1" t="s">
        <v>31</v>
      </c>
      <c r="P12" s="1" t="s">
        <v>850</v>
      </c>
      <c r="Q12" s="1" t="s">
        <v>777</v>
      </c>
      <c r="R12" s="1" t="s">
        <v>874</v>
      </c>
      <c r="S12" s="1" t="s">
        <v>779</v>
      </c>
      <c r="T12" s="1" t="s">
        <v>875</v>
      </c>
      <c r="U12" s="1" t="s">
        <v>31</v>
      </c>
      <c r="V12" s="5"/>
      <c r="W12" s="5"/>
      <c r="X12" s="5"/>
      <c r="Y12" s="5"/>
      <c r="Z12" s="5"/>
    </row>
    <row r="13" ht="14.25" hidden="1" customHeight="1">
      <c r="A13" s="1" t="s">
        <v>886</v>
      </c>
      <c r="B13" s="1">
        <v>1.1000326E7</v>
      </c>
      <c r="C13" s="1" t="str">
        <f>VLOOKUP(B13,Equipment!A$1:J$470,9,0)</f>
        <v>E</v>
      </c>
      <c r="D13" s="1" t="s">
        <v>757</v>
      </c>
      <c r="E13" s="1">
        <v>2001.0</v>
      </c>
      <c r="F13" s="1" t="s">
        <v>846</v>
      </c>
      <c r="G13" s="1" t="s">
        <v>131</v>
      </c>
      <c r="H13" s="1" t="s">
        <v>768</v>
      </c>
      <c r="I13" s="1" t="s">
        <v>735</v>
      </c>
      <c r="J13" s="1" t="s">
        <v>735</v>
      </c>
      <c r="K13" s="1" t="s">
        <v>735</v>
      </c>
      <c r="L13" s="1" t="s">
        <v>890</v>
      </c>
      <c r="M13" s="1" t="s">
        <v>51</v>
      </c>
      <c r="N13" s="1" t="s">
        <v>737</v>
      </c>
      <c r="O13" s="1" t="s">
        <v>31</v>
      </c>
      <c r="P13" s="1" t="s">
        <v>850</v>
      </c>
      <c r="Q13" s="1" t="s">
        <v>777</v>
      </c>
      <c r="R13" s="1" t="s">
        <v>895</v>
      </c>
      <c r="S13" s="1" t="s">
        <v>779</v>
      </c>
      <c r="T13" s="1" t="s">
        <v>897</v>
      </c>
      <c r="U13" s="1" t="s">
        <v>31</v>
      </c>
      <c r="V13" s="5"/>
      <c r="W13" s="5"/>
      <c r="X13" s="5"/>
      <c r="Y13" s="5"/>
      <c r="Z13" s="5"/>
    </row>
    <row r="14" ht="14.25" hidden="1" customHeight="1">
      <c r="A14" s="1" t="s">
        <v>901</v>
      </c>
      <c r="B14" s="1">
        <v>1.1000326E7</v>
      </c>
      <c r="C14" s="1" t="str">
        <f>VLOOKUP(B14,Equipment!A$1:J$470,9,0)</f>
        <v>E</v>
      </c>
      <c r="D14" s="1" t="s">
        <v>757</v>
      </c>
      <c r="E14" s="1">
        <v>2001.0</v>
      </c>
      <c r="F14" s="1" t="s">
        <v>857</v>
      </c>
      <c r="G14" s="1" t="s">
        <v>131</v>
      </c>
      <c r="H14" s="1" t="s">
        <v>768</v>
      </c>
      <c r="I14" s="1" t="s">
        <v>735</v>
      </c>
      <c r="J14" s="1" t="s">
        <v>735</v>
      </c>
      <c r="K14" s="1" t="s">
        <v>735</v>
      </c>
      <c r="L14" s="1" t="s">
        <v>890</v>
      </c>
      <c r="M14" s="1" t="s">
        <v>51</v>
      </c>
      <c r="N14" s="1" t="s">
        <v>737</v>
      </c>
      <c r="O14" s="1" t="s">
        <v>31</v>
      </c>
      <c r="P14" s="1" t="s">
        <v>859</v>
      </c>
      <c r="Q14" s="1" t="s">
        <v>777</v>
      </c>
      <c r="R14" s="1" t="s">
        <v>895</v>
      </c>
      <c r="S14" s="1" t="s">
        <v>779</v>
      </c>
      <c r="T14" s="1" t="s">
        <v>897</v>
      </c>
      <c r="U14" s="1" t="s">
        <v>31</v>
      </c>
      <c r="V14" s="5"/>
      <c r="W14" s="5"/>
      <c r="X14" s="5"/>
      <c r="Y14" s="5"/>
      <c r="Z14" s="5"/>
    </row>
    <row r="15" ht="14.25" hidden="1" customHeight="1">
      <c r="A15" s="1" t="s">
        <v>910</v>
      </c>
      <c r="B15" s="1">
        <v>1.1000326E7</v>
      </c>
      <c r="C15" s="1" t="str">
        <f>VLOOKUP(B15,Equipment!A$1:J$470,9,0)</f>
        <v>E</v>
      </c>
      <c r="D15" s="1" t="s">
        <v>757</v>
      </c>
      <c r="E15" s="1">
        <v>2001.0</v>
      </c>
      <c r="F15" s="1" t="s">
        <v>766</v>
      </c>
      <c r="G15" s="1" t="s">
        <v>131</v>
      </c>
      <c r="H15" s="1" t="s">
        <v>768</v>
      </c>
      <c r="I15" s="1" t="s">
        <v>735</v>
      </c>
      <c r="J15" s="1" t="s">
        <v>735</v>
      </c>
      <c r="K15" s="1" t="s">
        <v>735</v>
      </c>
      <c r="L15" s="1" t="s">
        <v>890</v>
      </c>
      <c r="M15" s="1" t="s">
        <v>51</v>
      </c>
      <c r="N15" s="1" t="s">
        <v>737</v>
      </c>
      <c r="O15" s="1" t="s">
        <v>31</v>
      </c>
      <c r="P15" s="1" t="s">
        <v>776</v>
      </c>
      <c r="Q15" s="1" t="s">
        <v>777</v>
      </c>
      <c r="R15" s="1" t="s">
        <v>895</v>
      </c>
      <c r="S15" s="1" t="s">
        <v>779</v>
      </c>
      <c r="T15" s="1" t="s">
        <v>897</v>
      </c>
      <c r="U15" s="1" t="s">
        <v>31</v>
      </c>
      <c r="V15" s="5"/>
      <c r="W15" s="5"/>
      <c r="X15" s="5"/>
      <c r="Y15" s="5"/>
      <c r="Z15" s="5"/>
    </row>
    <row r="16" ht="14.25" hidden="1" customHeight="1">
      <c r="A16" s="1" t="s">
        <v>919</v>
      </c>
      <c r="B16" s="1">
        <v>1.1000333E7</v>
      </c>
      <c r="C16" s="1" t="str">
        <f>VLOOKUP(B16,Equipment!A$1:J$470,9,0)</f>
        <v>E</v>
      </c>
      <c r="D16" s="1" t="s">
        <v>765</v>
      </c>
      <c r="E16" s="1">
        <v>2001.0</v>
      </c>
      <c r="F16" s="1" t="s">
        <v>766</v>
      </c>
      <c r="G16" s="1" t="s">
        <v>131</v>
      </c>
      <c r="H16" s="1" t="s">
        <v>768</v>
      </c>
      <c r="I16" s="1" t="s">
        <v>735</v>
      </c>
      <c r="J16" s="1" t="s">
        <v>735</v>
      </c>
      <c r="K16" s="1" t="s">
        <v>735</v>
      </c>
      <c r="L16" s="1" t="s">
        <v>927</v>
      </c>
      <c r="M16" s="1" t="s">
        <v>51</v>
      </c>
      <c r="N16" s="1" t="s">
        <v>737</v>
      </c>
      <c r="O16" s="1" t="s">
        <v>31</v>
      </c>
      <c r="P16" s="1" t="s">
        <v>776</v>
      </c>
      <c r="Q16" s="1" t="s">
        <v>777</v>
      </c>
      <c r="R16" s="1" t="s">
        <v>928</v>
      </c>
      <c r="S16" s="1" t="s">
        <v>779</v>
      </c>
      <c r="T16" s="1" t="s">
        <v>931</v>
      </c>
      <c r="U16" s="1" t="s">
        <v>31</v>
      </c>
      <c r="V16" s="5"/>
      <c r="W16" s="5"/>
      <c r="X16" s="5"/>
      <c r="Y16" s="5"/>
      <c r="Z16" s="5"/>
    </row>
    <row r="17" ht="14.25" hidden="1" customHeight="1">
      <c r="A17" s="1" t="s">
        <v>937</v>
      </c>
      <c r="B17" s="1">
        <v>1.1000383E7</v>
      </c>
      <c r="C17" s="1" t="str">
        <f>VLOOKUP(B17,Equipment!A$1:J$470,9,0)</f>
        <v>E</v>
      </c>
      <c r="D17" s="1" t="s">
        <v>861</v>
      </c>
      <c r="E17" s="1">
        <v>1041.0</v>
      </c>
      <c r="F17" s="1" t="s">
        <v>943</v>
      </c>
      <c r="G17" s="1" t="s">
        <v>68</v>
      </c>
      <c r="H17" s="1" t="s">
        <v>768</v>
      </c>
      <c r="I17" s="1" t="s">
        <v>735</v>
      </c>
      <c r="J17" s="1" t="s">
        <v>735</v>
      </c>
      <c r="K17" s="1" t="s">
        <v>944</v>
      </c>
      <c r="L17" s="1" t="s">
        <v>946</v>
      </c>
      <c r="M17" s="1" t="s">
        <v>51</v>
      </c>
      <c r="N17" s="1" t="s">
        <v>737</v>
      </c>
      <c r="O17" s="1" t="s">
        <v>31</v>
      </c>
      <c r="P17" s="1" t="s">
        <v>789</v>
      </c>
      <c r="Q17" s="1" t="s">
        <v>948</v>
      </c>
      <c r="R17" s="1" t="s">
        <v>949</v>
      </c>
      <c r="S17" s="1" t="s">
        <v>950</v>
      </c>
      <c r="T17" s="1" t="s">
        <v>952</v>
      </c>
      <c r="U17" s="1" t="s">
        <v>31</v>
      </c>
      <c r="V17" s="5"/>
      <c r="W17" s="5"/>
      <c r="X17" s="5"/>
      <c r="Y17" s="5"/>
      <c r="Z17" s="5"/>
    </row>
    <row r="18" ht="14.25" hidden="1" customHeight="1">
      <c r="A18" s="1" t="s">
        <v>956</v>
      </c>
      <c r="B18" s="1">
        <v>1.1000493E7</v>
      </c>
      <c r="C18" s="1" t="str">
        <f>VLOOKUP(B18,Equipment!A$1:J$470,9,0)</f>
        <v>E</v>
      </c>
      <c r="D18" s="1" t="s">
        <v>206</v>
      </c>
      <c r="E18" s="1">
        <v>1041.0</v>
      </c>
      <c r="F18" s="1" t="s">
        <v>962</v>
      </c>
      <c r="G18" s="1" t="s">
        <v>68</v>
      </c>
      <c r="H18" s="1" t="s">
        <v>768</v>
      </c>
      <c r="I18" s="1" t="s">
        <v>735</v>
      </c>
      <c r="J18" s="1" t="s">
        <v>735</v>
      </c>
      <c r="K18" s="1" t="s">
        <v>963</v>
      </c>
      <c r="L18" s="1" t="s">
        <v>964</v>
      </c>
      <c r="M18" s="1" t="s">
        <v>51</v>
      </c>
      <c r="N18" s="1" t="s">
        <v>737</v>
      </c>
      <c r="O18" s="1" t="s">
        <v>31</v>
      </c>
      <c r="P18" s="1" t="s">
        <v>789</v>
      </c>
      <c r="Q18" s="1" t="s">
        <v>948</v>
      </c>
      <c r="R18" s="1" t="s">
        <v>965</v>
      </c>
      <c r="S18" s="1" t="s">
        <v>950</v>
      </c>
      <c r="T18" s="1" t="s">
        <v>967</v>
      </c>
      <c r="U18" s="1" t="s">
        <v>31</v>
      </c>
      <c r="V18" s="5"/>
      <c r="W18" s="5"/>
      <c r="X18" s="5"/>
      <c r="Y18" s="5"/>
      <c r="Z18" s="5"/>
    </row>
    <row r="19" ht="14.25" hidden="1" customHeight="1">
      <c r="A19" s="1" t="s">
        <v>972</v>
      </c>
      <c r="B19" s="1">
        <v>1.1000548E7</v>
      </c>
      <c r="C19" s="1" t="str">
        <f>VLOOKUP(B19,Equipment!A$1:J$470,9,0)</f>
        <v>E</v>
      </c>
      <c r="D19" s="1" t="s">
        <v>979</v>
      </c>
      <c r="E19" s="1">
        <v>1031.0</v>
      </c>
      <c r="F19" s="1" t="s">
        <v>980</v>
      </c>
      <c r="G19" s="1" t="s">
        <v>223</v>
      </c>
      <c r="H19" s="1" t="s">
        <v>768</v>
      </c>
      <c r="I19" s="1" t="s">
        <v>735</v>
      </c>
      <c r="J19" s="1" t="s">
        <v>735</v>
      </c>
      <c r="K19" s="1" t="s">
        <v>31</v>
      </c>
      <c r="L19" s="1" t="s">
        <v>981</v>
      </c>
      <c r="M19" s="1" t="s">
        <v>51</v>
      </c>
      <c r="N19" s="1" t="s">
        <v>737</v>
      </c>
      <c r="O19" s="1" t="s">
        <v>31</v>
      </c>
      <c r="P19" s="1" t="s">
        <v>776</v>
      </c>
      <c r="Q19" s="1" t="s">
        <v>948</v>
      </c>
      <c r="R19" s="1" t="s">
        <v>982</v>
      </c>
      <c r="S19" s="1" t="s">
        <v>983</v>
      </c>
      <c r="T19" s="1" t="s">
        <v>984</v>
      </c>
      <c r="U19" s="1" t="s">
        <v>31</v>
      </c>
      <c r="V19" s="5"/>
      <c r="W19" s="5"/>
      <c r="X19" s="5"/>
      <c r="Y19" s="5"/>
      <c r="Z19" s="5"/>
    </row>
    <row r="20" ht="14.25" hidden="1" customHeight="1">
      <c r="A20" s="1" t="s">
        <v>987</v>
      </c>
      <c r="B20" s="1">
        <v>1.1001307E7</v>
      </c>
      <c r="C20" s="1" t="str">
        <f>VLOOKUP(B20,Equipment!A$1:J$470,9,0)</f>
        <v>E</v>
      </c>
      <c r="D20" s="1" t="s">
        <v>995</v>
      </c>
      <c r="E20" s="1">
        <v>1002.0</v>
      </c>
      <c r="F20" s="1" t="s">
        <v>996</v>
      </c>
      <c r="G20" s="1" t="s">
        <v>997</v>
      </c>
      <c r="H20" s="1" t="s">
        <v>768</v>
      </c>
      <c r="I20" s="1" t="s">
        <v>735</v>
      </c>
      <c r="J20" s="1" t="s">
        <v>735</v>
      </c>
      <c r="K20" s="1" t="s">
        <v>735</v>
      </c>
      <c r="L20" s="1" t="s">
        <v>31</v>
      </c>
      <c r="M20" s="1" t="s">
        <v>51</v>
      </c>
      <c r="N20" s="1" t="s">
        <v>737</v>
      </c>
      <c r="O20" s="1" t="s">
        <v>31</v>
      </c>
      <c r="P20" s="1" t="s">
        <v>998</v>
      </c>
      <c r="Q20" s="1" t="s">
        <v>948</v>
      </c>
      <c r="R20" s="1" t="s">
        <v>999</v>
      </c>
      <c r="S20" s="1" t="s">
        <v>1000</v>
      </c>
      <c r="T20" s="1" t="s">
        <v>31</v>
      </c>
      <c r="U20" s="1" t="s">
        <v>31</v>
      </c>
      <c r="V20" s="5"/>
      <c r="W20" s="5"/>
      <c r="X20" s="5"/>
      <c r="Y20" s="5"/>
      <c r="Z20" s="5"/>
    </row>
    <row r="21" ht="14.25" hidden="1" customHeight="1">
      <c r="A21" s="1" t="s">
        <v>1003</v>
      </c>
      <c r="B21" s="1">
        <v>1.100139E7</v>
      </c>
      <c r="C21" s="1" t="str">
        <f>VLOOKUP(B21,Equipment!A$1:J$470,9,0)</f>
        <v>E</v>
      </c>
      <c r="D21" s="1" t="s">
        <v>1012</v>
      </c>
      <c r="E21" s="1">
        <v>1002.0</v>
      </c>
      <c r="F21" s="1" t="s">
        <v>1013</v>
      </c>
      <c r="G21" s="1" t="s">
        <v>1015</v>
      </c>
      <c r="H21" s="1" t="s">
        <v>768</v>
      </c>
      <c r="I21" s="1" t="s">
        <v>735</v>
      </c>
      <c r="J21" s="1" t="s">
        <v>735</v>
      </c>
      <c r="K21" s="1" t="s">
        <v>735</v>
      </c>
      <c r="L21" s="1" t="s">
        <v>1016</v>
      </c>
      <c r="M21" s="1" t="s">
        <v>51</v>
      </c>
      <c r="N21" s="1" t="s">
        <v>737</v>
      </c>
      <c r="O21" s="1" t="s">
        <v>31</v>
      </c>
      <c r="P21" s="1" t="s">
        <v>859</v>
      </c>
      <c r="Q21" s="1" t="s">
        <v>948</v>
      </c>
      <c r="R21" s="1" t="s">
        <v>1017</v>
      </c>
      <c r="S21" s="1" t="s">
        <v>1000</v>
      </c>
      <c r="T21" s="1" t="s">
        <v>1018</v>
      </c>
      <c r="U21" s="1" t="s">
        <v>31</v>
      </c>
      <c r="V21" s="5"/>
      <c r="W21" s="5"/>
      <c r="X21" s="5"/>
      <c r="Y21" s="5"/>
      <c r="Z21" s="5"/>
    </row>
    <row r="22" ht="14.25" hidden="1" customHeight="1">
      <c r="A22" s="1" t="s">
        <v>1019</v>
      </c>
      <c r="B22" s="1">
        <v>2.1000085E7</v>
      </c>
      <c r="C22" s="1" t="str">
        <f>VLOOKUP(B22,Equipment!A$1:J$470,9,0)</f>
        <v>U</v>
      </c>
      <c r="D22" s="1" t="s">
        <v>1029</v>
      </c>
      <c r="E22" s="1">
        <v>2501.0</v>
      </c>
      <c r="F22" s="1" t="s">
        <v>1032</v>
      </c>
      <c r="G22" s="1" t="s">
        <v>1034</v>
      </c>
      <c r="H22" s="1" t="s">
        <v>768</v>
      </c>
      <c r="I22" s="1" t="s">
        <v>735</v>
      </c>
      <c r="J22" s="1" t="s">
        <v>735</v>
      </c>
      <c r="K22" s="1" t="s">
        <v>735</v>
      </c>
      <c r="L22" s="1" t="s">
        <v>1037</v>
      </c>
      <c r="M22" s="1" t="s">
        <v>51</v>
      </c>
      <c r="N22" s="1" t="s">
        <v>737</v>
      </c>
      <c r="O22" s="1" t="s">
        <v>31</v>
      </c>
      <c r="P22" s="1" t="s">
        <v>812</v>
      </c>
      <c r="Q22" s="1" t="s">
        <v>1039</v>
      </c>
      <c r="R22" s="1" t="s">
        <v>1040</v>
      </c>
      <c r="S22" s="1" t="s">
        <v>1041</v>
      </c>
      <c r="T22" s="1" t="s">
        <v>1042</v>
      </c>
      <c r="U22" s="1" t="s">
        <v>31</v>
      </c>
      <c r="V22" s="5"/>
      <c r="W22" s="5"/>
      <c r="X22" s="5"/>
      <c r="Y22" s="5"/>
      <c r="Z22" s="5"/>
    </row>
    <row r="23" ht="14.25" hidden="1" customHeight="1">
      <c r="A23" s="1" t="s">
        <v>1043</v>
      </c>
      <c r="B23" s="1">
        <v>2.1000102E7</v>
      </c>
      <c r="C23" s="1" t="str">
        <f>VLOOKUP(B23,Equipment!A$1:J$470,9,0)</f>
        <v>U</v>
      </c>
      <c r="D23" s="1" t="s">
        <v>1049</v>
      </c>
      <c r="E23" s="1">
        <v>2501.0</v>
      </c>
      <c r="F23" s="1" t="s">
        <v>1050</v>
      </c>
      <c r="G23" s="1" t="s">
        <v>1034</v>
      </c>
      <c r="H23" s="1" t="s">
        <v>768</v>
      </c>
      <c r="I23" s="1" t="s">
        <v>735</v>
      </c>
      <c r="J23" s="1" t="s">
        <v>735</v>
      </c>
      <c r="K23" s="1" t="s">
        <v>735</v>
      </c>
      <c r="L23" s="1" t="s">
        <v>1037</v>
      </c>
      <c r="M23" s="1" t="s">
        <v>51</v>
      </c>
      <c r="N23" s="1" t="s">
        <v>737</v>
      </c>
      <c r="O23" s="1" t="s">
        <v>31</v>
      </c>
      <c r="P23" s="1" t="s">
        <v>789</v>
      </c>
      <c r="Q23" s="1" t="s">
        <v>1039</v>
      </c>
      <c r="R23" s="1" t="s">
        <v>1054</v>
      </c>
      <c r="S23" s="1" t="s">
        <v>1041</v>
      </c>
      <c r="T23" s="1" t="s">
        <v>1055</v>
      </c>
      <c r="U23" s="1" t="s">
        <v>31</v>
      </c>
      <c r="V23" s="5"/>
      <c r="W23" s="5"/>
      <c r="X23" s="5"/>
      <c r="Y23" s="5"/>
      <c r="Z23" s="5"/>
    </row>
    <row r="24" ht="14.25" hidden="1" customHeight="1">
      <c r="A24" s="1" t="s">
        <v>1057</v>
      </c>
      <c r="B24" s="1">
        <v>2.1000185E7</v>
      </c>
      <c r="C24" s="1" t="str">
        <f>VLOOKUP(B24,Equipment!A$1:J$470,9,0)</f>
        <v>#N/A</v>
      </c>
      <c r="D24" s="1" t="s">
        <v>1059</v>
      </c>
      <c r="E24" s="1">
        <v>1501.0</v>
      </c>
      <c r="F24" s="1" t="s">
        <v>1061</v>
      </c>
      <c r="G24" s="1" t="s">
        <v>1062</v>
      </c>
      <c r="H24" s="1" t="s">
        <v>768</v>
      </c>
      <c r="I24" s="1" t="s">
        <v>735</v>
      </c>
      <c r="J24" s="1" t="s">
        <v>735</v>
      </c>
      <c r="K24" s="1" t="s">
        <v>735</v>
      </c>
      <c r="L24" s="1" t="s">
        <v>736</v>
      </c>
      <c r="M24" s="1" t="s">
        <v>51</v>
      </c>
      <c r="N24" s="1" t="s">
        <v>737</v>
      </c>
      <c r="O24" s="1" t="s">
        <v>31</v>
      </c>
      <c r="P24" s="1" t="s">
        <v>859</v>
      </c>
      <c r="Q24" s="1" t="s">
        <v>741</v>
      </c>
      <c r="R24" s="1" t="s">
        <v>1069</v>
      </c>
      <c r="S24" s="1" t="s">
        <v>745</v>
      </c>
      <c r="T24" s="1" t="s">
        <v>747</v>
      </c>
      <c r="U24" s="1" t="s">
        <v>31</v>
      </c>
      <c r="V24" s="5"/>
      <c r="W24" s="5"/>
      <c r="X24" s="5"/>
      <c r="Y24" s="5"/>
      <c r="Z24" s="5"/>
    </row>
    <row r="25" ht="14.25" hidden="1" customHeight="1">
      <c r="A25" s="1" t="s">
        <v>31</v>
      </c>
      <c r="B25" s="1">
        <v>2.1000767E7</v>
      </c>
      <c r="C25" s="1" t="str">
        <f>VLOOKUP(B25,Equipment!A$1:J$470,9,0)</f>
        <v>#N/A</v>
      </c>
      <c r="D25" s="1" t="s">
        <v>1075</v>
      </c>
      <c r="E25" s="1">
        <v>1031.0</v>
      </c>
      <c r="F25" s="1" t="s">
        <v>1080</v>
      </c>
      <c r="G25" s="1" t="s">
        <v>1082</v>
      </c>
      <c r="H25" s="1" t="s">
        <v>31</v>
      </c>
      <c r="I25" s="1" t="s">
        <v>735</v>
      </c>
      <c r="J25" s="1" t="s">
        <v>735</v>
      </c>
      <c r="K25" s="1" t="s">
        <v>31</v>
      </c>
      <c r="L25" s="1" t="s">
        <v>1085</v>
      </c>
      <c r="M25" s="1" t="s">
        <v>51</v>
      </c>
      <c r="N25" s="1" t="s">
        <v>737</v>
      </c>
      <c r="O25" s="1" t="s">
        <v>31</v>
      </c>
      <c r="P25" s="1" t="s">
        <v>1086</v>
      </c>
      <c r="Q25" s="1" t="s">
        <v>948</v>
      </c>
      <c r="R25" s="1" t="s">
        <v>1087</v>
      </c>
      <c r="S25" s="1" t="s">
        <v>983</v>
      </c>
      <c r="T25" s="1" t="s">
        <v>1089</v>
      </c>
      <c r="U25" s="1" t="s">
        <v>31</v>
      </c>
      <c r="V25" s="5"/>
      <c r="W25" s="5"/>
      <c r="X25" s="5"/>
      <c r="Y25" s="5"/>
      <c r="Z25" s="5"/>
    </row>
    <row r="26" ht="14.25" hidden="1" customHeight="1">
      <c r="A26" s="1" t="s">
        <v>31</v>
      </c>
      <c r="B26" s="1">
        <v>2.1000769E7</v>
      </c>
      <c r="C26" s="1" t="str">
        <f>VLOOKUP(B26,Equipment!A$1:J$470,9,0)</f>
        <v>#N/A</v>
      </c>
      <c r="D26" s="1" t="s">
        <v>1093</v>
      </c>
      <c r="E26" s="1">
        <v>1031.0</v>
      </c>
      <c r="F26" s="1" t="s">
        <v>1094</v>
      </c>
      <c r="G26" s="1" t="s">
        <v>1082</v>
      </c>
      <c r="H26" s="1" t="s">
        <v>31</v>
      </c>
      <c r="I26" s="1" t="s">
        <v>735</v>
      </c>
      <c r="J26" s="1" t="s">
        <v>735</v>
      </c>
      <c r="K26" s="1" t="s">
        <v>31</v>
      </c>
      <c r="L26" s="1" t="s">
        <v>1085</v>
      </c>
      <c r="M26" s="1" t="s">
        <v>51</v>
      </c>
      <c r="N26" s="1" t="s">
        <v>737</v>
      </c>
      <c r="O26" s="1" t="s">
        <v>31</v>
      </c>
      <c r="P26" s="1" t="s">
        <v>1086</v>
      </c>
      <c r="Q26" s="1" t="s">
        <v>948</v>
      </c>
      <c r="R26" s="1" t="s">
        <v>1087</v>
      </c>
      <c r="S26" s="1" t="s">
        <v>983</v>
      </c>
      <c r="T26" s="1" t="s">
        <v>1089</v>
      </c>
      <c r="U26" s="1" t="s">
        <v>31</v>
      </c>
      <c r="V26" s="5"/>
      <c r="W26" s="5"/>
      <c r="X26" s="5"/>
      <c r="Y26" s="5"/>
      <c r="Z26" s="5"/>
    </row>
    <row r="27" ht="14.25" hidden="1" customHeight="1">
      <c r="A27" s="1" t="s">
        <v>31</v>
      </c>
      <c r="B27" s="1">
        <v>2.100077E7</v>
      </c>
      <c r="C27" s="1" t="str">
        <f>VLOOKUP(B27,Equipment!A$1:J$470,9,0)</f>
        <v>#N/A</v>
      </c>
      <c r="D27" s="1" t="s">
        <v>1104</v>
      </c>
      <c r="E27" s="1">
        <v>1031.0</v>
      </c>
      <c r="F27" s="1" t="s">
        <v>1107</v>
      </c>
      <c r="G27" s="1" t="s">
        <v>1082</v>
      </c>
      <c r="H27" s="1" t="s">
        <v>31</v>
      </c>
      <c r="I27" s="1" t="s">
        <v>735</v>
      </c>
      <c r="J27" s="1" t="s">
        <v>735</v>
      </c>
      <c r="K27" s="1" t="s">
        <v>31</v>
      </c>
      <c r="L27" s="1" t="s">
        <v>1085</v>
      </c>
      <c r="M27" s="1" t="s">
        <v>51</v>
      </c>
      <c r="N27" s="1" t="s">
        <v>737</v>
      </c>
      <c r="O27" s="1" t="s">
        <v>31</v>
      </c>
      <c r="P27" s="1" t="s">
        <v>1086</v>
      </c>
      <c r="Q27" s="1" t="s">
        <v>948</v>
      </c>
      <c r="R27" s="1" t="s">
        <v>1087</v>
      </c>
      <c r="S27" s="1" t="s">
        <v>983</v>
      </c>
      <c r="T27" s="1" t="s">
        <v>1089</v>
      </c>
      <c r="U27" s="1" t="s">
        <v>31</v>
      </c>
      <c r="V27" s="5"/>
      <c r="W27" s="5"/>
      <c r="X27" s="5"/>
      <c r="Y27" s="5"/>
      <c r="Z27" s="5"/>
    </row>
    <row r="28" ht="14.25" hidden="1" customHeight="1">
      <c r="A28" s="1" t="s">
        <v>31</v>
      </c>
      <c r="B28" s="1">
        <v>2.1000911E7</v>
      </c>
      <c r="C28" s="1" t="str">
        <f>VLOOKUP(B28,Equipment!A$1:J$470,9,0)</f>
        <v>#N/A</v>
      </c>
      <c r="D28" s="1" t="s">
        <v>1118</v>
      </c>
      <c r="E28" s="1">
        <v>1031.0</v>
      </c>
      <c r="F28" s="1" t="s">
        <v>1120</v>
      </c>
      <c r="G28" s="1" t="s">
        <v>1082</v>
      </c>
      <c r="H28" s="1" t="s">
        <v>31</v>
      </c>
      <c r="I28" s="1" t="s">
        <v>735</v>
      </c>
      <c r="J28" s="1" t="s">
        <v>735</v>
      </c>
      <c r="K28" s="1" t="s">
        <v>31</v>
      </c>
      <c r="L28" s="1" t="s">
        <v>1124</v>
      </c>
      <c r="M28" s="1" t="s">
        <v>51</v>
      </c>
      <c r="N28" s="1" t="s">
        <v>737</v>
      </c>
      <c r="O28" s="1" t="s">
        <v>31</v>
      </c>
      <c r="P28" s="1" t="s">
        <v>1086</v>
      </c>
      <c r="Q28" s="1" t="s">
        <v>948</v>
      </c>
      <c r="R28" s="1" t="s">
        <v>1125</v>
      </c>
      <c r="S28" s="1" t="s">
        <v>983</v>
      </c>
      <c r="T28" s="1" t="s">
        <v>1089</v>
      </c>
      <c r="U28" s="1" t="s">
        <v>31</v>
      </c>
      <c r="V28" s="5"/>
      <c r="W28" s="5"/>
      <c r="X28" s="5"/>
      <c r="Y28" s="5"/>
      <c r="Z28" s="5"/>
    </row>
    <row r="29" ht="14.25" hidden="1" customHeight="1">
      <c r="A29" s="1" t="s">
        <v>1126</v>
      </c>
      <c r="B29" s="1">
        <v>1.1000005E7</v>
      </c>
      <c r="C29" s="1" t="str">
        <f>VLOOKUP(B29,Equipment!A$1:J$470,9,0)</f>
        <v>E</v>
      </c>
      <c r="D29" s="1" t="s">
        <v>75</v>
      </c>
      <c r="E29" s="1">
        <v>1001.0</v>
      </c>
      <c r="F29" s="1" t="s">
        <v>785</v>
      </c>
      <c r="G29" s="1" t="s">
        <v>1132</v>
      </c>
      <c r="H29" s="1" t="s">
        <v>768</v>
      </c>
      <c r="I29" s="1" t="s">
        <v>963</v>
      </c>
      <c r="J29" s="1" t="s">
        <v>963</v>
      </c>
      <c r="K29" s="1" t="s">
        <v>963</v>
      </c>
      <c r="L29" s="1" t="s">
        <v>1134</v>
      </c>
      <c r="M29" s="1" t="s">
        <v>51</v>
      </c>
      <c r="N29" s="1" t="s">
        <v>737</v>
      </c>
      <c r="O29" s="1" t="s">
        <v>31</v>
      </c>
      <c r="P29" s="1" t="s">
        <v>789</v>
      </c>
      <c r="Q29" s="1" t="s">
        <v>948</v>
      </c>
      <c r="R29" s="1" t="s">
        <v>1138</v>
      </c>
      <c r="S29" s="1" t="s">
        <v>1139</v>
      </c>
      <c r="T29" s="1" t="s">
        <v>1140</v>
      </c>
      <c r="U29" s="1" t="s">
        <v>31</v>
      </c>
      <c r="V29" s="5"/>
      <c r="W29" s="5"/>
      <c r="X29" s="5"/>
      <c r="Y29" s="5"/>
      <c r="Z29" s="5"/>
    </row>
    <row r="30" ht="14.25" hidden="1" customHeight="1">
      <c r="A30" s="1" t="s">
        <v>1142</v>
      </c>
      <c r="B30" s="1">
        <v>1.1000325E7</v>
      </c>
      <c r="C30" s="1" t="str">
        <f>VLOOKUP(B30,Equipment!A$1:J$470,9,0)</f>
        <v>E</v>
      </c>
      <c r="D30" s="1" t="s">
        <v>681</v>
      </c>
      <c r="E30" s="1">
        <v>2001.0</v>
      </c>
      <c r="F30" s="1" t="s">
        <v>785</v>
      </c>
      <c r="G30" s="1" t="s">
        <v>131</v>
      </c>
      <c r="H30" s="1" t="s">
        <v>768</v>
      </c>
      <c r="I30" s="1" t="s">
        <v>963</v>
      </c>
      <c r="J30" s="1" t="s">
        <v>963</v>
      </c>
      <c r="K30" s="1" t="s">
        <v>963</v>
      </c>
      <c r="L30" s="1" t="s">
        <v>870</v>
      </c>
      <c r="M30" s="1" t="s">
        <v>51</v>
      </c>
      <c r="N30" s="1" t="s">
        <v>737</v>
      </c>
      <c r="O30" s="1" t="s">
        <v>31</v>
      </c>
      <c r="P30" s="1" t="s">
        <v>1146</v>
      </c>
      <c r="Q30" s="1" t="s">
        <v>777</v>
      </c>
      <c r="R30" s="1" t="s">
        <v>874</v>
      </c>
      <c r="S30" s="1" t="s">
        <v>779</v>
      </c>
      <c r="T30" s="1" t="s">
        <v>875</v>
      </c>
      <c r="U30" s="1" t="s">
        <v>31</v>
      </c>
      <c r="V30" s="5"/>
      <c r="W30" s="5"/>
      <c r="X30" s="5"/>
      <c r="Y30" s="5"/>
      <c r="Z30" s="5"/>
    </row>
    <row r="31" ht="14.25" hidden="1" customHeight="1">
      <c r="A31" s="1" t="s">
        <v>1150</v>
      </c>
      <c r="B31" s="1">
        <v>1.1000333E7</v>
      </c>
      <c r="C31" s="1" t="str">
        <f>VLOOKUP(B31,Equipment!A$1:J$470,9,0)</f>
        <v>E</v>
      </c>
      <c r="D31" s="1" t="s">
        <v>765</v>
      </c>
      <c r="E31" s="1">
        <v>2001.0</v>
      </c>
      <c r="F31" s="1" t="s">
        <v>785</v>
      </c>
      <c r="G31" s="1" t="s">
        <v>131</v>
      </c>
      <c r="H31" s="1" t="s">
        <v>768</v>
      </c>
      <c r="I31" s="1" t="s">
        <v>963</v>
      </c>
      <c r="J31" s="1" t="s">
        <v>963</v>
      </c>
      <c r="K31" s="1" t="s">
        <v>963</v>
      </c>
      <c r="L31" s="1" t="s">
        <v>927</v>
      </c>
      <c r="M31" s="1" t="s">
        <v>51</v>
      </c>
      <c r="N31" s="1" t="s">
        <v>737</v>
      </c>
      <c r="O31" s="1" t="s">
        <v>31</v>
      </c>
      <c r="P31" s="1" t="s">
        <v>789</v>
      </c>
      <c r="Q31" s="1" t="s">
        <v>777</v>
      </c>
      <c r="R31" s="1" t="s">
        <v>928</v>
      </c>
      <c r="S31" s="1" t="s">
        <v>779</v>
      </c>
      <c r="T31" s="1" t="s">
        <v>931</v>
      </c>
      <c r="U31" s="1" t="s">
        <v>31</v>
      </c>
      <c r="V31" s="5"/>
      <c r="W31" s="5"/>
      <c r="X31" s="5"/>
      <c r="Y31" s="5"/>
      <c r="Z31" s="5"/>
    </row>
    <row r="32" ht="14.25" hidden="1" customHeight="1">
      <c r="A32" s="1" t="s">
        <v>1161</v>
      </c>
      <c r="B32" s="1">
        <v>1.1000439E7</v>
      </c>
      <c r="C32" s="1" t="str">
        <f>VLOOKUP(B32,Equipment!A$1:J$470,9,0)</f>
        <v>E</v>
      </c>
      <c r="D32" s="1" t="s">
        <v>894</v>
      </c>
      <c r="E32" s="1">
        <v>1041.0</v>
      </c>
      <c r="F32" s="1" t="s">
        <v>1163</v>
      </c>
      <c r="G32" s="1" t="s">
        <v>68</v>
      </c>
      <c r="H32" s="1" t="s">
        <v>768</v>
      </c>
      <c r="I32" s="1" t="s">
        <v>963</v>
      </c>
      <c r="J32" s="1" t="s">
        <v>963</v>
      </c>
      <c r="K32" s="1" t="s">
        <v>944</v>
      </c>
      <c r="L32" s="1" t="s">
        <v>1166</v>
      </c>
      <c r="M32" s="1" t="s">
        <v>51</v>
      </c>
      <c r="N32" s="1" t="s">
        <v>737</v>
      </c>
      <c r="O32" s="1" t="s">
        <v>31</v>
      </c>
      <c r="P32" s="1" t="s">
        <v>789</v>
      </c>
      <c r="Q32" s="1" t="s">
        <v>948</v>
      </c>
      <c r="R32" s="1" t="s">
        <v>949</v>
      </c>
      <c r="S32" s="1" t="s">
        <v>950</v>
      </c>
      <c r="T32" s="1" t="s">
        <v>1168</v>
      </c>
      <c r="U32" s="1" t="s">
        <v>31</v>
      </c>
      <c r="V32" s="5"/>
      <c r="W32" s="5"/>
      <c r="X32" s="5"/>
      <c r="Y32" s="5"/>
      <c r="Z32" s="5"/>
    </row>
    <row r="33" ht="14.25" hidden="1" customHeight="1">
      <c r="A33" s="1" t="s">
        <v>1169</v>
      </c>
      <c r="B33" s="1">
        <v>1.1001386E7</v>
      </c>
      <c r="C33" s="1" t="str">
        <f>VLOOKUP(B33,Equipment!A$1:J$470,9,0)</f>
        <v>E</v>
      </c>
      <c r="D33" s="1" t="s">
        <v>1182</v>
      </c>
      <c r="E33" s="1">
        <v>2001.0</v>
      </c>
      <c r="F33" s="1" t="s">
        <v>785</v>
      </c>
      <c r="G33" s="1" t="s">
        <v>131</v>
      </c>
      <c r="H33" s="1" t="s">
        <v>31</v>
      </c>
      <c r="I33" s="1" t="s">
        <v>963</v>
      </c>
      <c r="J33" s="1" t="s">
        <v>963</v>
      </c>
      <c r="K33" s="1" t="s">
        <v>963</v>
      </c>
      <c r="L33" s="1" t="s">
        <v>1187</v>
      </c>
      <c r="M33" s="1" t="s">
        <v>51</v>
      </c>
      <c r="N33" s="1" t="s">
        <v>737</v>
      </c>
      <c r="O33" s="1" t="s">
        <v>31</v>
      </c>
      <c r="P33" s="1" t="s">
        <v>1188</v>
      </c>
      <c r="Q33" s="1" t="s">
        <v>777</v>
      </c>
      <c r="R33" s="1" t="s">
        <v>131</v>
      </c>
      <c r="S33" s="1" t="s">
        <v>779</v>
      </c>
      <c r="T33" s="1" t="s">
        <v>1189</v>
      </c>
      <c r="U33" s="1" t="s">
        <v>31</v>
      </c>
      <c r="V33" s="5"/>
      <c r="W33" s="5"/>
      <c r="X33" s="5"/>
      <c r="Y33" s="5"/>
      <c r="Z33" s="5"/>
    </row>
    <row r="34" ht="14.25" hidden="1" customHeight="1">
      <c r="A34" s="1" t="s">
        <v>1191</v>
      </c>
      <c r="B34" s="1">
        <v>2.1000184E7</v>
      </c>
      <c r="C34" s="1" t="str">
        <f>VLOOKUP(B34,Equipment!A$1:J$470,9,0)</f>
        <v>#N/A</v>
      </c>
      <c r="D34" s="1" t="s">
        <v>1196</v>
      </c>
      <c r="E34" s="1">
        <v>1501.0</v>
      </c>
      <c r="F34" s="1" t="s">
        <v>1197</v>
      </c>
      <c r="G34" s="1" t="s">
        <v>1062</v>
      </c>
      <c r="H34" s="1" t="s">
        <v>768</v>
      </c>
      <c r="I34" s="1" t="s">
        <v>963</v>
      </c>
      <c r="J34" s="1" t="s">
        <v>963</v>
      </c>
      <c r="K34" s="1" t="s">
        <v>963</v>
      </c>
      <c r="L34" s="1" t="s">
        <v>736</v>
      </c>
      <c r="M34" s="1" t="s">
        <v>51</v>
      </c>
      <c r="N34" s="1" t="s">
        <v>737</v>
      </c>
      <c r="O34" s="1" t="s">
        <v>31</v>
      </c>
      <c r="P34" s="1" t="s">
        <v>812</v>
      </c>
      <c r="Q34" s="1" t="s">
        <v>741</v>
      </c>
      <c r="R34" s="1" t="s">
        <v>1069</v>
      </c>
      <c r="S34" s="1" t="s">
        <v>745</v>
      </c>
      <c r="T34" s="1" t="s">
        <v>747</v>
      </c>
      <c r="U34" s="1" t="s">
        <v>31</v>
      </c>
      <c r="V34" s="5"/>
      <c r="W34" s="5"/>
      <c r="X34" s="5"/>
      <c r="Y34" s="5"/>
      <c r="Z34" s="5"/>
    </row>
    <row r="35" ht="14.25" hidden="1" customHeight="1">
      <c r="A35" s="1" t="s">
        <v>1207</v>
      </c>
      <c r="B35" s="1">
        <v>2.1000975E7</v>
      </c>
      <c r="C35" s="1" t="str">
        <f>VLOOKUP(B35,Equipment!A$1:J$470,9,0)</f>
        <v>#N/A</v>
      </c>
      <c r="D35" s="1" t="s">
        <v>1210</v>
      </c>
      <c r="E35" s="1">
        <v>1004.0</v>
      </c>
      <c r="F35" s="1" t="s">
        <v>1211</v>
      </c>
      <c r="G35" s="1" t="s">
        <v>1015</v>
      </c>
      <c r="H35" s="1" t="s">
        <v>768</v>
      </c>
      <c r="I35" s="1" t="s">
        <v>1212</v>
      </c>
      <c r="J35" s="1" t="s">
        <v>963</v>
      </c>
      <c r="K35" s="1" t="s">
        <v>944</v>
      </c>
      <c r="L35" s="1" t="s">
        <v>1213</v>
      </c>
      <c r="M35" s="1" t="s">
        <v>51</v>
      </c>
      <c r="N35" s="1" t="s">
        <v>737</v>
      </c>
      <c r="O35" s="1" t="s">
        <v>31</v>
      </c>
      <c r="P35" s="1" t="s">
        <v>1215</v>
      </c>
      <c r="Q35" s="1" t="s">
        <v>948</v>
      </c>
      <c r="R35" s="1" t="s">
        <v>1219</v>
      </c>
      <c r="S35" s="1" t="s">
        <v>1220</v>
      </c>
      <c r="T35" s="1" t="s">
        <v>1222</v>
      </c>
      <c r="U35" s="1" t="s">
        <v>31</v>
      </c>
      <c r="V35" s="5"/>
      <c r="W35" s="5"/>
      <c r="X35" s="5"/>
      <c r="Y35" s="5"/>
      <c r="Z35" s="5"/>
    </row>
    <row r="36" ht="14.25" hidden="1" customHeight="1">
      <c r="A36" s="1" t="s">
        <v>1225</v>
      </c>
      <c r="B36" s="1">
        <v>1.1000015E7</v>
      </c>
      <c r="C36" s="1" t="str">
        <f>VLOOKUP(B36,Equipment!A$1:J$470,9,0)</f>
        <v>E</v>
      </c>
      <c r="D36" s="1" t="s">
        <v>123</v>
      </c>
      <c r="E36" s="1">
        <v>1001.0</v>
      </c>
      <c r="F36" s="1" t="s">
        <v>785</v>
      </c>
      <c r="G36" s="1" t="s">
        <v>1233</v>
      </c>
      <c r="H36" s="1" t="s">
        <v>768</v>
      </c>
      <c r="I36" s="1" t="s">
        <v>944</v>
      </c>
      <c r="J36" s="1" t="s">
        <v>944</v>
      </c>
      <c r="K36" s="1" t="s">
        <v>944</v>
      </c>
      <c r="L36" s="1" t="s">
        <v>1237</v>
      </c>
      <c r="M36" s="1" t="s">
        <v>51</v>
      </c>
      <c r="N36" s="1" t="s">
        <v>737</v>
      </c>
      <c r="O36" s="1" t="s">
        <v>31</v>
      </c>
      <c r="P36" s="1" t="s">
        <v>789</v>
      </c>
      <c r="Q36" s="1" t="s">
        <v>948</v>
      </c>
      <c r="R36" s="1" t="s">
        <v>1241</v>
      </c>
      <c r="S36" s="1" t="s">
        <v>1139</v>
      </c>
      <c r="T36" s="1" t="s">
        <v>1140</v>
      </c>
      <c r="U36" s="1" t="s">
        <v>31</v>
      </c>
      <c r="V36" s="5"/>
      <c r="W36" s="5"/>
      <c r="X36" s="5"/>
      <c r="Y36" s="5"/>
      <c r="Z36" s="5"/>
    </row>
    <row r="37" ht="14.25" hidden="1" customHeight="1">
      <c r="A37" s="1" t="s">
        <v>1242</v>
      </c>
      <c r="B37" s="1">
        <v>1.1000326E7</v>
      </c>
      <c r="C37" s="1" t="str">
        <f>VLOOKUP(B37,Equipment!A$1:J$470,9,0)</f>
        <v>E</v>
      </c>
      <c r="D37" s="1" t="s">
        <v>757</v>
      </c>
      <c r="E37" s="1">
        <v>2001.0</v>
      </c>
      <c r="F37" s="1" t="s">
        <v>785</v>
      </c>
      <c r="G37" s="1" t="s">
        <v>131</v>
      </c>
      <c r="H37" s="1" t="s">
        <v>768</v>
      </c>
      <c r="I37" s="1" t="s">
        <v>944</v>
      </c>
      <c r="J37" s="1" t="s">
        <v>944</v>
      </c>
      <c r="K37" s="1" t="s">
        <v>944</v>
      </c>
      <c r="L37" s="1" t="s">
        <v>890</v>
      </c>
      <c r="M37" s="1" t="s">
        <v>51</v>
      </c>
      <c r="N37" s="1" t="s">
        <v>737</v>
      </c>
      <c r="O37" s="1" t="s">
        <v>31</v>
      </c>
      <c r="P37" s="1" t="s">
        <v>789</v>
      </c>
      <c r="Q37" s="1" t="s">
        <v>777</v>
      </c>
      <c r="R37" s="1" t="s">
        <v>895</v>
      </c>
      <c r="S37" s="1" t="s">
        <v>779</v>
      </c>
      <c r="T37" s="1" t="s">
        <v>897</v>
      </c>
      <c r="U37" s="1" t="s">
        <v>31</v>
      </c>
      <c r="V37" s="5"/>
      <c r="W37" s="5"/>
      <c r="X37" s="5"/>
      <c r="Y37" s="5"/>
      <c r="Z37" s="5"/>
    </row>
    <row r="38" ht="14.25" hidden="1" customHeight="1">
      <c r="A38" s="1" t="s">
        <v>1253</v>
      </c>
      <c r="B38" s="1">
        <v>1.100038E7</v>
      </c>
      <c r="C38" s="1" t="str">
        <f>VLOOKUP(B38,Equipment!A$1:J$470,9,0)</f>
        <v>E</v>
      </c>
      <c r="D38" s="1" t="s">
        <v>545</v>
      </c>
      <c r="E38" s="1">
        <v>1041.0</v>
      </c>
      <c r="F38" s="1" t="s">
        <v>1257</v>
      </c>
      <c r="G38" s="1" t="s">
        <v>68</v>
      </c>
      <c r="H38" s="1" t="s">
        <v>768</v>
      </c>
      <c r="I38" s="1" t="s">
        <v>944</v>
      </c>
      <c r="J38" s="1" t="s">
        <v>944</v>
      </c>
      <c r="K38" s="1" t="s">
        <v>1260</v>
      </c>
      <c r="L38" s="1" t="s">
        <v>946</v>
      </c>
      <c r="M38" s="1" t="s">
        <v>51</v>
      </c>
      <c r="N38" s="1" t="s">
        <v>737</v>
      </c>
      <c r="O38" s="1" t="s">
        <v>31</v>
      </c>
      <c r="P38" s="1" t="s">
        <v>1262</v>
      </c>
      <c r="Q38" s="1" t="s">
        <v>948</v>
      </c>
      <c r="R38" s="1" t="s">
        <v>949</v>
      </c>
      <c r="S38" s="1" t="s">
        <v>950</v>
      </c>
      <c r="T38" s="1" t="s">
        <v>952</v>
      </c>
      <c r="U38" s="1" t="s">
        <v>31</v>
      </c>
      <c r="V38" s="5"/>
      <c r="W38" s="5"/>
      <c r="X38" s="5"/>
      <c r="Y38" s="5"/>
      <c r="Z38" s="5"/>
    </row>
    <row r="39" ht="14.25" hidden="1" customHeight="1">
      <c r="A39" s="1" t="s">
        <v>1264</v>
      </c>
      <c r="B39" s="1">
        <v>1.1000814E7</v>
      </c>
      <c r="C39" s="1" t="str">
        <f>VLOOKUP(B39,Equipment!A$1:J$470,9,0)</f>
        <v>E</v>
      </c>
      <c r="D39" s="1" t="s">
        <v>1267</v>
      </c>
      <c r="E39" s="1">
        <v>1002.0</v>
      </c>
      <c r="F39" s="1" t="s">
        <v>1268</v>
      </c>
      <c r="G39" s="1" t="s">
        <v>131</v>
      </c>
      <c r="H39" s="1" t="s">
        <v>768</v>
      </c>
      <c r="I39" s="1" t="s">
        <v>944</v>
      </c>
      <c r="J39" s="1" t="s">
        <v>944</v>
      </c>
      <c r="K39" s="1" t="s">
        <v>944</v>
      </c>
      <c r="L39" s="1" t="s">
        <v>1269</v>
      </c>
      <c r="M39" s="1" t="s">
        <v>51</v>
      </c>
      <c r="N39" s="1" t="s">
        <v>737</v>
      </c>
      <c r="O39" s="1" t="s">
        <v>31</v>
      </c>
      <c r="P39" s="1" t="s">
        <v>828</v>
      </c>
      <c r="Q39" s="1" t="s">
        <v>948</v>
      </c>
      <c r="R39" s="1" t="s">
        <v>1270</v>
      </c>
      <c r="S39" s="1" t="s">
        <v>1000</v>
      </c>
      <c r="T39" s="1" t="s">
        <v>1271</v>
      </c>
      <c r="U39" s="1" t="s">
        <v>31</v>
      </c>
      <c r="V39" s="5"/>
      <c r="W39" s="5"/>
      <c r="X39" s="5"/>
      <c r="Y39" s="5"/>
      <c r="Z39" s="5"/>
    </row>
    <row r="40" ht="14.25" hidden="1" customHeight="1">
      <c r="A40" s="1" t="s">
        <v>1273</v>
      </c>
      <c r="B40" s="1">
        <v>1.1000823E7</v>
      </c>
      <c r="C40" s="1" t="str">
        <f>VLOOKUP(B40,Equipment!A$1:J$470,9,0)</f>
        <v>E</v>
      </c>
      <c r="D40" s="1" t="s">
        <v>1281</v>
      </c>
      <c r="E40" s="1">
        <v>1002.0</v>
      </c>
      <c r="F40" s="1" t="s">
        <v>1282</v>
      </c>
      <c r="G40" s="1" t="s">
        <v>131</v>
      </c>
      <c r="H40" s="1" t="s">
        <v>768</v>
      </c>
      <c r="I40" s="1" t="s">
        <v>944</v>
      </c>
      <c r="J40" s="1" t="s">
        <v>944</v>
      </c>
      <c r="K40" s="1" t="s">
        <v>944</v>
      </c>
      <c r="L40" s="1" t="s">
        <v>1269</v>
      </c>
      <c r="M40" s="1" t="s">
        <v>51</v>
      </c>
      <c r="N40" s="1" t="s">
        <v>737</v>
      </c>
      <c r="O40" s="1" t="s">
        <v>31</v>
      </c>
      <c r="P40" s="1" t="s">
        <v>1285</v>
      </c>
      <c r="Q40" s="1" t="s">
        <v>948</v>
      </c>
      <c r="R40" s="1" t="s">
        <v>1286</v>
      </c>
      <c r="S40" s="1" t="s">
        <v>1000</v>
      </c>
      <c r="T40" s="1" t="s">
        <v>1288</v>
      </c>
      <c r="U40" s="1" t="s">
        <v>31</v>
      </c>
      <c r="V40" s="5"/>
      <c r="W40" s="5"/>
      <c r="X40" s="5"/>
      <c r="Y40" s="5"/>
      <c r="Z40" s="5"/>
    </row>
    <row r="41" ht="14.25" hidden="1" customHeight="1">
      <c r="A41" s="1" t="s">
        <v>1291</v>
      </c>
      <c r="B41" s="1">
        <v>1.1000845E7</v>
      </c>
      <c r="C41" s="1" t="str">
        <f>VLOOKUP(B41,Equipment!A$1:J$470,9,0)</f>
        <v>E</v>
      </c>
      <c r="D41" s="1" t="s">
        <v>1293</v>
      </c>
      <c r="E41" s="1">
        <v>1002.0</v>
      </c>
      <c r="F41" s="1" t="s">
        <v>1282</v>
      </c>
      <c r="G41" s="1" t="s">
        <v>131</v>
      </c>
      <c r="H41" s="1" t="s">
        <v>768</v>
      </c>
      <c r="I41" s="1" t="s">
        <v>944</v>
      </c>
      <c r="J41" s="1" t="s">
        <v>944</v>
      </c>
      <c r="K41" s="1" t="s">
        <v>944</v>
      </c>
      <c r="L41" s="1" t="s">
        <v>1269</v>
      </c>
      <c r="M41" s="1" t="s">
        <v>51</v>
      </c>
      <c r="N41" s="1" t="s">
        <v>737</v>
      </c>
      <c r="O41" s="1" t="s">
        <v>31</v>
      </c>
      <c r="P41" s="1" t="s">
        <v>1285</v>
      </c>
      <c r="Q41" s="1" t="s">
        <v>948</v>
      </c>
      <c r="R41" s="1" t="s">
        <v>1286</v>
      </c>
      <c r="S41" s="1" t="s">
        <v>1000</v>
      </c>
      <c r="T41" s="1" t="s">
        <v>1288</v>
      </c>
      <c r="U41" s="1" t="s">
        <v>31</v>
      </c>
      <c r="V41" s="5"/>
      <c r="W41" s="5"/>
      <c r="X41" s="5"/>
      <c r="Y41" s="5"/>
      <c r="Z41" s="5"/>
    </row>
    <row r="42" ht="14.25" hidden="1" customHeight="1">
      <c r="A42" s="1" t="s">
        <v>1301</v>
      </c>
      <c r="B42" s="1">
        <v>1.1001284E7</v>
      </c>
      <c r="C42" s="1" t="str">
        <f>VLOOKUP(B42,Equipment!A$1:J$470,9,0)</f>
        <v>E</v>
      </c>
      <c r="D42" s="1" t="s">
        <v>1307</v>
      </c>
      <c r="E42" s="1">
        <v>1001.0</v>
      </c>
      <c r="F42" s="1" t="s">
        <v>1308</v>
      </c>
      <c r="G42" s="1" t="s">
        <v>1132</v>
      </c>
      <c r="H42" s="1" t="s">
        <v>768</v>
      </c>
      <c r="I42" s="1" t="s">
        <v>944</v>
      </c>
      <c r="J42" s="1" t="s">
        <v>944</v>
      </c>
      <c r="K42" s="1" t="s">
        <v>944</v>
      </c>
      <c r="L42" s="1" t="s">
        <v>1312</v>
      </c>
      <c r="M42" s="1" t="s">
        <v>51</v>
      </c>
      <c r="N42" s="1" t="s">
        <v>737</v>
      </c>
      <c r="O42" s="1" t="s">
        <v>31</v>
      </c>
      <c r="P42" s="1" t="s">
        <v>998</v>
      </c>
      <c r="Q42" s="1" t="s">
        <v>948</v>
      </c>
      <c r="R42" s="1" t="s">
        <v>1319</v>
      </c>
      <c r="S42" s="1" t="s">
        <v>1139</v>
      </c>
      <c r="T42" s="1" t="s">
        <v>1319</v>
      </c>
      <c r="U42" s="1" t="s">
        <v>31</v>
      </c>
      <c r="V42" s="5"/>
      <c r="W42" s="5"/>
      <c r="X42" s="5"/>
      <c r="Y42" s="5"/>
      <c r="Z42" s="5"/>
    </row>
    <row r="43" ht="14.25" hidden="1" customHeight="1">
      <c r="A43" s="1" t="s">
        <v>1320</v>
      </c>
      <c r="B43" s="1">
        <v>2.1000082E7</v>
      </c>
      <c r="C43" s="1" t="str">
        <f>VLOOKUP(B43,Equipment!A$1:J$470,9,0)</f>
        <v>U</v>
      </c>
      <c r="D43" s="1" t="s">
        <v>1325</v>
      </c>
      <c r="E43" s="1">
        <v>2501.0</v>
      </c>
      <c r="F43" s="1" t="s">
        <v>1326</v>
      </c>
      <c r="G43" s="1" t="s">
        <v>1082</v>
      </c>
      <c r="H43" s="1" t="s">
        <v>768</v>
      </c>
      <c r="I43" s="1" t="s">
        <v>944</v>
      </c>
      <c r="J43" s="1" t="s">
        <v>944</v>
      </c>
      <c r="K43" s="1" t="s">
        <v>1328</v>
      </c>
      <c r="L43" s="1" t="s">
        <v>1037</v>
      </c>
      <c r="M43" s="1" t="s">
        <v>51</v>
      </c>
      <c r="N43" s="1" t="s">
        <v>737</v>
      </c>
      <c r="O43" s="1" t="s">
        <v>31</v>
      </c>
      <c r="P43" s="1" t="s">
        <v>1331</v>
      </c>
      <c r="Q43" s="1" t="s">
        <v>1039</v>
      </c>
      <c r="R43" s="1" t="s">
        <v>1334</v>
      </c>
      <c r="S43" s="1" t="s">
        <v>1041</v>
      </c>
      <c r="T43" s="1" t="s">
        <v>1336</v>
      </c>
      <c r="U43" s="1" t="s">
        <v>31</v>
      </c>
      <c r="V43" s="5"/>
      <c r="W43" s="5"/>
      <c r="X43" s="5"/>
      <c r="Y43" s="5"/>
      <c r="Z43" s="5"/>
    </row>
    <row r="44" ht="14.25" hidden="1" customHeight="1">
      <c r="A44" s="1" t="s">
        <v>1341</v>
      </c>
      <c r="B44" s="1">
        <v>2.1000185E7</v>
      </c>
      <c r="C44" s="1" t="str">
        <f>VLOOKUP(B44,Equipment!A$1:J$470,9,0)</f>
        <v>#N/A</v>
      </c>
      <c r="D44" s="1" t="s">
        <v>1059</v>
      </c>
      <c r="E44" s="1">
        <v>1501.0</v>
      </c>
      <c r="F44" s="1" t="s">
        <v>1197</v>
      </c>
      <c r="G44" s="1" t="s">
        <v>1062</v>
      </c>
      <c r="H44" s="1" t="s">
        <v>768</v>
      </c>
      <c r="I44" s="1" t="s">
        <v>944</v>
      </c>
      <c r="J44" s="1" t="s">
        <v>944</v>
      </c>
      <c r="K44" s="1" t="s">
        <v>944</v>
      </c>
      <c r="L44" s="1" t="s">
        <v>736</v>
      </c>
      <c r="M44" s="1" t="s">
        <v>51</v>
      </c>
      <c r="N44" s="1" t="s">
        <v>737</v>
      </c>
      <c r="O44" s="1" t="s">
        <v>31</v>
      </c>
      <c r="P44" s="1" t="s">
        <v>1345</v>
      </c>
      <c r="Q44" s="1" t="s">
        <v>741</v>
      </c>
      <c r="R44" s="1" t="s">
        <v>1069</v>
      </c>
      <c r="S44" s="1" t="s">
        <v>745</v>
      </c>
      <c r="T44" s="1" t="s">
        <v>747</v>
      </c>
      <c r="U44" s="1" t="s">
        <v>31</v>
      </c>
      <c r="V44" s="5"/>
      <c r="W44" s="5"/>
      <c r="X44" s="5"/>
      <c r="Y44" s="5"/>
      <c r="Z44" s="5"/>
    </row>
    <row r="45" ht="14.25" hidden="1" customHeight="1">
      <c r="A45" s="1" t="s">
        <v>1350</v>
      </c>
      <c r="B45" s="1">
        <v>2.1000976E7</v>
      </c>
      <c r="C45" s="1" t="str">
        <f>VLOOKUP(B45,Equipment!A$1:J$470,9,0)</f>
        <v>#N/A</v>
      </c>
      <c r="D45" s="1" t="s">
        <v>1355</v>
      </c>
      <c r="E45" s="1">
        <v>1004.0</v>
      </c>
      <c r="F45" s="1" t="s">
        <v>1356</v>
      </c>
      <c r="G45" s="1" t="s">
        <v>1015</v>
      </c>
      <c r="H45" s="1" t="s">
        <v>768</v>
      </c>
      <c r="I45" s="1" t="s">
        <v>944</v>
      </c>
      <c r="J45" s="1" t="s">
        <v>944</v>
      </c>
      <c r="K45" s="1" t="s">
        <v>944</v>
      </c>
      <c r="L45" s="1" t="s">
        <v>1213</v>
      </c>
      <c r="M45" s="1" t="s">
        <v>51</v>
      </c>
      <c r="N45" s="1" t="s">
        <v>737</v>
      </c>
      <c r="O45" s="1" t="s">
        <v>31</v>
      </c>
      <c r="P45" s="1" t="s">
        <v>1215</v>
      </c>
      <c r="Q45" s="1" t="s">
        <v>948</v>
      </c>
      <c r="R45" s="1" t="s">
        <v>1361</v>
      </c>
      <c r="S45" s="1" t="s">
        <v>1220</v>
      </c>
      <c r="T45" s="1" t="s">
        <v>1222</v>
      </c>
      <c r="U45" s="1" t="s">
        <v>31</v>
      </c>
      <c r="V45" s="5"/>
      <c r="W45" s="5"/>
      <c r="X45" s="5"/>
      <c r="Y45" s="5"/>
      <c r="Z45" s="5"/>
    </row>
    <row r="46" ht="14.25" customHeight="1">
      <c r="A46" s="1" t="s">
        <v>1362</v>
      </c>
      <c r="B46" s="1">
        <v>1.1000056E7</v>
      </c>
      <c r="C46" s="1" t="str">
        <f>VLOOKUP(B46,Equipment!A$1:J$470,9,0)</f>
        <v>E</v>
      </c>
      <c r="D46" s="1" t="s">
        <v>251</v>
      </c>
      <c r="E46" s="1">
        <v>2501.0</v>
      </c>
      <c r="F46" s="1" t="s">
        <v>1367</v>
      </c>
      <c r="G46" s="1" t="s">
        <v>1368</v>
      </c>
      <c r="H46" s="1" t="s">
        <v>768</v>
      </c>
      <c r="I46" s="1" t="s">
        <v>1328</v>
      </c>
      <c r="J46" s="1" t="s">
        <v>1328</v>
      </c>
      <c r="K46" s="1" t="s">
        <v>1328</v>
      </c>
      <c r="L46" s="1" t="s">
        <v>1374</v>
      </c>
      <c r="M46" s="1" t="s">
        <v>51</v>
      </c>
      <c r="N46" s="1" t="s">
        <v>737</v>
      </c>
      <c r="O46" s="1" t="s">
        <v>31</v>
      </c>
      <c r="P46" s="1" t="s">
        <v>1146</v>
      </c>
      <c r="Q46" s="1" t="s">
        <v>1039</v>
      </c>
      <c r="R46" s="1" t="s">
        <v>1377</v>
      </c>
      <c r="S46" s="1" t="s">
        <v>1041</v>
      </c>
      <c r="T46" s="1" t="s">
        <v>1378</v>
      </c>
      <c r="U46" s="1" t="s">
        <v>31</v>
      </c>
      <c r="V46" s="5"/>
      <c r="W46" s="5"/>
      <c r="X46" s="5"/>
      <c r="Y46" s="5"/>
      <c r="Z46" s="5"/>
    </row>
    <row r="47" ht="14.25" hidden="1" customHeight="1">
      <c r="A47" s="1" t="s">
        <v>1379</v>
      </c>
      <c r="B47" s="1">
        <v>1.1000301E7</v>
      </c>
      <c r="C47" s="1" t="str">
        <f>VLOOKUP(B47,Equipment!A$1:J$470,9,0)</f>
        <v>E</v>
      </c>
      <c r="D47" s="1" t="s">
        <v>603</v>
      </c>
      <c r="E47" s="1">
        <v>2001.0</v>
      </c>
      <c r="F47" s="1" t="s">
        <v>785</v>
      </c>
      <c r="G47" s="1" t="s">
        <v>491</v>
      </c>
      <c r="H47" s="1" t="s">
        <v>768</v>
      </c>
      <c r="I47" s="1" t="s">
        <v>1328</v>
      </c>
      <c r="J47" s="1" t="s">
        <v>1328</v>
      </c>
      <c r="K47" s="1" t="s">
        <v>1328</v>
      </c>
      <c r="L47" s="1" t="s">
        <v>1384</v>
      </c>
      <c r="M47" s="1" t="s">
        <v>51</v>
      </c>
      <c r="N47" s="1" t="s">
        <v>737</v>
      </c>
      <c r="O47" s="1" t="s">
        <v>31</v>
      </c>
      <c r="P47" s="1" t="s">
        <v>789</v>
      </c>
      <c r="Q47" s="1" t="s">
        <v>777</v>
      </c>
      <c r="R47" s="1" t="s">
        <v>814</v>
      </c>
      <c r="S47" s="1" t="s">
        <v>779</v>
      </c>
      <c r="T47" s="1" t="s">
        <v>1389</v>
      </c>
      <c r="U47" s="1" t="s">
        <v>31</v>
      </c>
      <c r="V47" s="5"/>
      <c r="W47" s="5"/>
      <c r="X47" s="5"/>
      <c r="Y47" s="5"/>
      <c r="Z47" s="5"/>
    </row>
    <row r="48" ht="14.25" hidden="1" customHeight="1">
      <c r="A48" s="1" t="s">
        <v>1394</v>
      </c>
      <c r="B48" s="1">
        <v>1.1000378E7</v>
      </c>
      <c r="C48" s="1" t="str">
        <f>VLOOKUP(B48,Equipment!A$1:J$470,9,0)</f>
        <v>E</v>
      </c>
      <c r="D48" s="1" t="s">
        <v>833</v>
      </c>
      <c r="E48" s="1">
        <v>1041.0</v>
      </c>
      <c r="F48" s="1" t="s">
        <v>1398</v>
      </c>
      <c r="G48" s="1" t="s">
        <v>68</v>
      </c>
      <c r="H48" s="1" t="s">
        <v>768</v>
      </c>
      <c r="I48" s="1" t="s">
        <v>1328</v>
      </c>
      <c r="J48" s="1" t="s">
        <v>1328</v>
      </c>
      <c r="K48" s="1" t="s">
        <v>1401</v>
      </c>
      <c r="L48" s="1" t="s">
        <v>946</v>
      </c>
      <c r="M48" s="1" t="s">
        <v>51</v>
      </c>
      <c r="N48" s="1" t="s">
        <v>737</v>
      </c>
      <c r="O48" s="1" t="s">
        <v>31</v>
      </c>
      <c r="P48" s="1" t="s">
        <v>1262</v>
      </c>
      <c r="Q48" s="1" t="s">
        <v>948</v>
      </c>
      <c r="R48" s="1" t="s">
        <v>949</v>
      </c>
      <c r="S48" s="1" t="s">
        <v>950</v>
      </c>
      <c r="T48" s="1" t="s">
        <v>952</v>
      </c>
      <c r="U48" s="1" t="s">
        <v>31</v>
      </c>
      <c r="V48" s="5"/>
      <c r="W48" s="5"/>
      <c r="X48" s="5"/>
      <c r="Y48" s="5"/>
      <c r="Z48" s="5"/>
    </row>
    <row r="49" ht="14.25" hidden="1" customHeight="1">
      <c r="A49" s="1" t="s">
        <v>1404</v>
      </c>
      <c r="B49" s="1">
        <v>1.1000397E7</v>
      </c>
      <c r="C49" s="1" t="str">
        <f>VLOOKUP(B49,Equipment!A$1:J$470,9,0)</f>
        <v>E</v>
      </c>
      <c r="D49" s="1" t="s">
        <v>913</v>
      </c>
      <c r="E49" s="1">
        <v>1041.0</v>
      </c>
      <c r="F49" s="1" t="s">
        <v>1411</v>
      </c>
      <c r="G49" s="1" t="s">
        <v>1412</v>
      </c>
      <c r="H49" s="1" t="s">
        <v>768</v>
      </c>
      <c r="I49" s="1" t="s">
        <v>1328</v>
      </c>
      <c r="J49" s="1" t="s">
        <v>1328</v>
      </c>
      <c r="K49" s="1" t="s">
        <v>1401</v>
      </c>
      <c r="L49" s="1" t="s">
        <v>1413</v>
      </c>
      <c r="M49" s="1" t="s">
        <v>51</v>
      </c>
      <c r="N49" s="1" t="s">
        <v>737</v>
      </c>
      <c r="O49" s="1" t="s">
        <v>31</v>
      </c>
      <c r="P49" s="1" t="s">
        <v>789</v>
      </c>
      <c r="Q49" s="1" t="s">
        <v>948</v>
      </c>
      <c r="R49" s="1" t="s">
        <v>1414</v>
      </c>
      <c r="S49" s="1" t="s">
        <v>950</v>
      </c>
      <c r="T49" s="1" t="s">
        <v>1415</v>
      </c>
      <c r="U49" s="1" t="s">
        <v>31</v>
      </c>
      <c r="V49" s="5"/>
      <c r="W49" s="5"/>
      <c r="X49" s="5"/>
      <c r="Y49" s="5"/>
      <c r="Z49" s="5"/>
    </row>
    <row r="50" ht="14.25" hidden="1" customHeight="1">
      <c r="A50" s="1" t="s">
        <v>1418</v>
      </c>
      <c r="B50" s="1">
        <v>1.1000486E7</v>
      </c>
      <c r="C50" s="1" t="str">
        <f>VLOOKUP(B50,Equipment!A$1:J$470,9,0)</f>
        <v>E</v>
      </c>
      <c r="D50" s="1" t="s">
        <v>1036</v>
      </c>
      <c r="E50" s="1">
        <v>1041.0</v>
      </c>
      <c r="F50" s="1" t="s">
        <v>1426</v>
      </c>
      <c r="G50" s="1" t="s">
        <v>68</v>
      </c>
      <c r="H50" s="1" t="s">
        <v>768</v>
      </c>
      <c r="I50" s="1" t="s">
        <v>1328</v>
      </c>
      <c r="J50" s="1" t="s">
        <v>1328</v>
      </c>
      <c r="K50" s="1" t="s">
        <v>1260</v>
      </c>
      <c r="L50" s="1" t="s">
        <v>1429</v>
      </c>
      <c r="M50" s="1" t="s">
        <v>51</v>
      </c>
      <c r="N50" s="1" t="s">
        <v>737</v>
      </c>
      <c r="O50" s="1" t="s">
        <v>31</v>
      </c>
      <c r="P50" s="1" t="s">
        <v>1430</v>
      </c>
      <c r="Q50" s="1" t="s">
        <v>948</v>
      </c>
      <c r="R50" s="1" t="s">
        <v>965</v>
      </c>
      <c r="S50" s="1" t="s">
        <v>950</v>
      </c>
      <c r="T50" s="1" t="s">
        <v>1431</v>
      </c>
      <c r="U50" s="1" t="s">
        <v>31</v>
      </c>
      <c r="V50" s="5"/>
      <c r="W50" s="5"/>
      <c r="X50" s="5"/>
      <c r="Y50" s="5"/>
      <c r="Z50" s="5"/>
    </row>
    <row r="51" ht="14.25" hidden="1" customHeight="1">
      <c r="A51" s="1" t="s">
        <v>1432</v>
      </c>
      <c r="B51" s="1">
        <v>1.100055E7</v>
      </c>
      <c r="C51" s="1" t="str">
        <f>VLOOKUP(B51,Equipment!A$1:J$470,9,0)</f>
        <v>E</v>
      </c>
      <c r="D51" s="1" t="s">
        <v>1177</v>
      </c>
      <c r="E51" s="1">
        <v>1031.0</v>
      </c>
      <c r="F51" s="1" t="s">
        <v>1436</v>
      </c>
      <c r="G51" s="1" t="s">
        <v>223</v>
      </c>
      <c r="H51" s="1" t="s">
        <v>768</v>
      </c>
      <c r="I51" s="1" t="s">
        <v>1328</v>
      </c>
      <c r="J51" s="1" t="s">
        <v>1328</v>
      </c>
      <c r="K51" s="1" t="s">
        <v>31</v>
      </c>
      <c r="L51" s="1" t="s">
        <v>1439</v>
      </c>
      <c r="M51" s="1" t="s">
        <v>51</v>
      </c>
      <c r="N51" s="1" t="s">
        <v>737</v>
      </c>
      <c r="O51" s="1" t="s">
        <v>31</v>
      </c>
      <c r="P51" s="1" t="s">
        <v>1440</v>
      </c>
      <c r="Q51" s="1" t="s">
        <v>948</v>
      </c>
      <c r="R51" s="1" t="s">
        <v>982</v>
      </c>
      <c r="S51" s="1" t="s">
        <v>983</v>
      </c>
      <c r="T51" s="1" t="s">
        <v>1089</v>
      </c>
      <c r="U51" s="1" t="s">
        <v>31</v>
      </c>
      <c r="V51" s="5"/>
      <c r="W51" s="5"/>
      <c r="X51" s="5"/>
      <c r="Y51" s="5"/>
      <c r="Z51" s="5"/>
    </row>
    <row r="52" ht="14.25" hidden="1" customHeight="1">
      <c r="A52" s="1" t="s">
        <v>1441</v>
      </c>
      <c r="B52" s="1">
        <v>1.1000583E7</v>
      </c>
      <c r="C52" s="1" t="str">
        <f>VLOOKUP(B52,Equipment!A$1:J$470,9,0)</f>
        <v>E</v>
      </c>
      <c r="D52" s="1" t="s">
        <v>1397</v>
      </c>
      <c r="E52" s="1">
        <v>1031.0</v>
      </c>
      <c r="F52" s="1" t="s">
        <v>1444</v>
      </c>
      <c r="G52" s="1" t="s">
        <v>223</v>
      </c>
      <c r="H52" s="1" t="s">
        <v>768</v>
      </c>
      <c r="I52" s="1" t="s">
        <v>1328</v>
      </c>
      <c r="J52" s="1" t="s">
        <v>1328</v>
      </c>
      <c r="K52" s="1" t="s">
        <v>31</v>
      </c>
      <c r="L52" s="1" t="s">
        <v>1446</v>
      </c>
      <c r="M52" s="1" t="s">
        <v>51</v>
      </c>
      <c r="N52" s="1" t="s">
        <v>737</v>
      </c>
      <c r="O52" s="1" t="s">
        <v>31</v>
      </c>
      <c r="P52" s="1" t="s">
        <v>776</v>
      </c>
      <c r="Q52" s="1" t="s">
        <v>948</v>
      </c>
      <c r="R52" s="1" t="s">
        <v>982</v>
      </c>
      <c r="S52" s="1" t="s">
        <v>983</v>
      </c>
      <c r="T52" s="1" t="s">
        <v>1453</v>
      </c>
      <c r="U52" s="1" t="s">
        <v>31</v>
      </c>
      <c r="V52" s="5"/>
      <c r="W52" s="5"/>
      <c r="X52" s="5"/>
      <c r="Y52" s="5"/>
      <c r="Z52" s="5"/>
    </row>
    <row r="53" ht="14.25" hidden="1" customHeight="1">
      <c r="A53" s="1" t="s">
        <v>31</v>
      </c>
      <c r="B53" s="1">
        <v>1.1000903E7</v>
      </c>
      <c r="C53" s="1" t="str">
        <f>VLOOKUP(B53,Equipment!A$1:J$470,9,0)</f>
        <v>E</v>
      </c>
      <c r="D53" s="1" t="s">
        <v>1456</v>
      </c>
      <c r="E53" s="1">
        <v>1201.0</v>
      </c>
      <c r="F53" s="1" t="s">
        <v>1459</v>
      </c>
      <c r="G53" s="1" t="s">
        <v>1015</v>
      </c>
      <c r="H53" s="1" t="s">
        <v>31</v>
      </c>
      <c r="I53" s="1" t="s">
        <v>1328</v>
      </c>
      <c r="J53" s="1" t="s">
        <v>1328</v>
      </c>
      <c r="K53" s="1" t="s">
        <v>31</v>
      </c>
      <c r="L53" s="1" t="s">
        <v>1460</v>
      </c>
      <c r="M53" s="1" t="s">
        <v>51</v>
      </c>
      <c r="N53" s="1" t="s">
        <v>737</v>
      </c>
      <c r="O53" s="1" t="s">
        <v>31</v>
      </c>
      <c r="P53" s="1" t="s">
        <v>1188</v>
      </c>
      <c r="Q53" s="1" t="s">
        <v>948</v>
      </c>
      <c r="R53" s="1" t="s">
        <v>1461</v>
      </c>
      <c r="S53" s="1" t="s">
        <v>1462</v>
      </c>
      <c r="T53" s="1" t="s">
        <v>31</v>
      </c>
      <c r="U53" s="1" t="s">
        <v>31</v>
      </c>
      <c r="V53" s="5"/>
      <c r="W53" s="5"/>
      <c r="X53" s="5"/>
      <c r="Y53" s="5"/>
      <c r="Z53" s="5"/>
    </row>
    <row r="54" ht="14.25" hidden="1" customHeight="1">
      <c r="A54" s="1" t="s">
        <v>1466</v>
      </c>
      <c r="B54" s="1">
        <v>2.1000084E7</v>
      </c>
      <c r="C54" s="1" t="str">
        <f>VLOOKUP(B54,Equipment!A$1:J$470,9,0)</f>
        <v>U</v>
      </c>
      <c r="D54" s="1" t="s">
        <v>1470</v>
      </c>
      <c r="E54" s="1">
        <v>2501.0</v>
      </c>
      <c r="F54" s="1" t="s">
        <v>1472</v>
      </c>
      <c r="G54" s="1" t="s">
        <v>1082</v>
      </c>
      <c r="H54" s="1" t="s">
        <v>768</v>
      </c>
      <c r="I54" s="1" t="s">
        <v>1328</v>
      </c>
      <c r="J54" s="1" t="s">
        <v>1328</v>
      </c>
      <c r="K54" s="1" t="s">
        <v>1328</v>
      </c>
      <c r="L54" s="1" t="s">
        <v>1037</v>
      </c>
      <c r="M54" s="1" t="s">
        <v>51</v>
      </c>
      <c r="N54" s="1" t="s">
        <v>737</v>
      </c>
      <c r="O54" s="1" t="s">
        <v>31</v>
      </c>
      <c r="P54" s="1" t="s">
        <v>1430</v>
      </c>
      <c r="Q54" s="1" t="s">
        <v>1039</v>
      </c>
      <c r="R54" s="1" t="s">
        <v>1334</v>
      </c>
      <c r="S54" s="1" t="s">
        <v>1041</v>
      </c>
      <c r="T54" s="1" t="s">
        <v>1336</v>
      </c>
      <c r="U54" s="1" t="s">
        <v>31</v>
      </c>
      <c r="V54" s="5"/>
      <c r="W54" s="5"/>
      <c r="X54" s="5"/>
      <c r="Y54" s="5"/>
      <c r="Z54" s="5"/>
    </row>
    <row r="55" ht="14.25" hidden="1" customHeight="1">
      <c r="A55" s="1" t="s">
        <v>1479</v>
      </c>
      <c r="B55" s="1">
        <v>2.1000988E7</v>
      </c>
      <c r="C55" s="1" t="str">
        <f>VLOOKUP(B55,Equipment!A$1:J$470,9,0)</f>
        <v>#N/A</v>
      </c>
      <c r="D55" s="1" t="s">
        <v>1483</v>
      </c>
      <c r="E55" s="1">
        <v>1004.0</v>
      </c>
      <c r="F55" s="1" t="s">
        <v>1484</v>
      </c>
      <c r="G55" s="1" t="s">
        <v>1485</v>
      </c>
      <c r="H55" s="1" t="s">
        <v>768</v>
      </c>
      <c r="I55" s="1" t="s">
        <v>1328</v>
      </c>
      <c r="J55" s="1" t="s">
        <v>1328</v>
      </c>
      <c r="K55" s="1" t="s">
        <v>1328</v>
      </c>
      <c r="L55" s="1" t="s">
        <v>1213</v>
      </c>
      <c r="M55" s="1" t="s">
        <v>51</v>
      </c>
      <c r="N55" s="1" t="s">
        <v>737</v>
      </c>
      <c r="O55" s="1" t="s">
        <v>31</v>
      </c>
      <c r="P55" s="1" t="s">
        <v>1215</v>
      </c>
      <c r="Q55" s="1" t="s">
        <v>948</v>
      </c>
      <c r="R55" s="1" t="s">
        <v>1485</v>
      </c>
      <c r="S55" s="1" t="s">
        <v>1220</v>
      </c>
      <c r="T55" s="1" t="s">
        <v>1222</v>
      </c>
      <c r="U55" s="1" t="s">
        <v>31</v>
      </c>
      <c r="V55" s="5"/>
      <c r="W55" s="5"/>
      <c r="X55" s="5"/>
      <c r="Y55" s="5"/>
      <c r="Z55" s="5"/>
    </row>
    <row r="56" ht="14.25" hidden="1" customHeight="1">
      <c r="A56" s="1" t="s">
        <v>1494</v>
      </c>
      <c r="B56" s="1">
        <v>2.1000989E7</v>
      </c>
      <c r="C56" s="1" t="str">
        <f>VLOOKUP(B56,Equipment!A$1:J$470,9,0)</f>
        <v>#N/A</v>
      </c>
      <c r="D56" s="1" t="s">
        <v>1499</v>
      </c>
      <c r="E56" s="1">
        <v>1004.0</v>
      </c>
      <c r="F56" s="1" t="s">
        <v>1500</v>
      </c>
      <c r="G56" s="1" t="s">
        <v>1485</v>
      </c>
      <c r="H56" s="1" t="s">
        <v>768</v>
      </c>
      <c r="I56" s="1" t="s">
        <v>1328</v>
      </c>
      <c r="J56" s="1" t="s">
        <v>1328</v>
      </c>
      <c r="K56" s="1" t="s">
        <v>1328</v>
      </c>
      <c r="L56" s="1" t="s">
        <v>1213</v>
      </c>
      <c r="M56" s="1" t="s">
        <v>51</v>
      </c>
      <c r="N56" s="1" t="s">
        <v>737</v>
      </c>
      <c r="O56" s="1" t="s">
        <v>31</v>
      </c>
      <c r="P56" s="1" t="s">
        <v>1215</v>
      </c>
      <c r="Q56" s="1" t="s">
        <v>948</v>
      </c>
      <c r="R56" s="1" t="s">
        <v>1485</v>
      </c>
      <c r="S56" s="1" t="s">
        <v>1220</v>
      </c>
      <c r="T56" s="1" t="s">
        <v>1222</v>
      </c>
      <c r="U56" s="1" t="s">
        <v>31</v>
      </c>
      <c r="V56" s="5"/>
      <c r="W56" s="5"/>
      <c r="X56" s="5"/>
      <c r="Y56" s="5"/>
      <c r="Z56" s="5"/>
    </row>
    <row r="57" ht="14.25" hidden="1" customHeight="1">
      <c r="A57" s="1" t="s">
        <v>1508</v>
      </c>
      <c r="B57" s="1">
        <v>2.100099E7</v>
      </c>
      <c r="C57" s="1" t="str">
        <f>VLOOKUP(B57,Equipment!A$1:J$470,9,0)</f>
        <v>#N/A</v>
      </c>
      <c r="D57" s="1" t="s">
        <v>1513</v>
      </c>
      <c r="E57" s="1">
        <v>1004.0</v>
      </c>
      <c r="F57" s="1" t="s">
        <v>1514</v>
      </c>
      <c r="G57" s="1" t="s">
        <v>1485</v>
      </c>
      <c r="H57" s="1" t="s">
        <v>768</v>
      </c>
      <c r="I57" s="1" t="s">
        <v>1328</v>
      </c>
      <c r="J57" s="1" t="s">
        <v>1328</v>
      </c>
      <c r="K57" s="1" t="s">
        <v>1328</v>
      </c>
      <c r="L57" s="1" t="s">
        <v>1213</v>
      </c>
      <c r="M57" s="1" t="s">
        <v>51</v>
      </c>
      <c r="N57" s="1" t="s">
        <v>737</v>
      </c>
      <c r="O57" s="1" t="s">
        <v>31</v>
      </c>
      <c r="P57" s="1" t="s">
        <v>1215</v>
      </c>
      <c r="Q57" s="1" t="s">
        <v>948</v>
      </c>
      <c r="R57" s="1" t="s">
        <v>1485</v>
      </c>
      <c r="S57" s="1" t="s">
        <v>1220</v>
      </c>
      <c r="T57" s="1" t="s">
        <v>1222</v>
      </c>
      <c r="U57" s="1" t="s">
        <v>31</v>
      </c>
      <c r="V57" s="5"/>
      <c r="W57" s="5"/>
      <c r="X57" s="5"/>
      <c r="Y57" s="5"/>
      <c r="Z57" s="5"/>
    </row>
    <row r="58" ht="14.25" hidden="1" customHeight="1">
      <c r="A58" s="1" t="s">
        <v>1532</v>
      </c>
      <c r="B58" s="1">
        <v>2.1000991E7</v>
      </c>
      <c r="C58" s="1" t="str">
        <f>VLOOKUP(B58,Equipment!A$1:J$470,9,0)</f>
        <v>#N/A</v>
      </c>
      <c r="D58" s="1" t="s">
        <v>1536</v>
      </c>
      <c r="E58" s="1">
        <v>1004.0</v>
      </c>
      <c r="F58" s="1" t="s">
        <v>1537</v>
      </c>
      <c r="G58" s="1" t="s">
        <v>1485</v>
      </c>
      <c r="H58" s="1" t="s">
        <v>768</v>
      </c>
      <c r="I58" s="1" t="s">
        <v>1328</v>
      </c>
      <c r="J58" s="1" t="s">
        <v>1328</v>
      </c>
      <c r="K58" s="1" t="s">
        <v>1328</v>
      </c>
      <c r="L58" s="1" t="s">
        <v>1213</v>
      </c>
      <c r="M58" s="1" t="s">
        <v>51</v>
      </c>
      <c r="N58" s="1" t="s">
        <v>737</v>
      </c>
      <c r="O58" s="1" t="s">
        <v>31</v>
      </c>
      <c r="P58" s="1" t="s">
        <v>1215</v>
      </c>
      <c r="Q58" s="1" t="s">
        <v>948</v>
      </c>
      <c r="R58" s="1" t="s">
        <v>1485</v>
      </c>
      <c r="S58" s="1" t="s">
        <v>1220</v>
      </c>
      <c r="T58" s="1" t="s">
        <v>1222</v>
      </c>
      <c r="U58" s="1" t="s">
        <v>31</v>
      </c>
      <c r="V58" s="5"/>
      <c r="W58" s="5"/>
      <c r="X58" s="5"/>
      <c r="Y58" s="5"/>
      <c r="Z58" s="5"/>
    </row>
    <row r="59" ht="14.25" customHeight="1">
      <c r="A59" s="1" t="s">
        <v>1540</v>
      </c>
      <c r="B59" s="1">
        <v>1.1000053E7</v>
      </c>
      <c r="C59" s="1" t="str">
        <f>VLOOKUP(B59,Equipment!A$1:J$470,9,0)</f>
        <v>E</v>
      </c>
      <c r="D59" s="1" t="s">
        <v>232</v>
      </c>
      <c r="E59" s="1">
        <v>2501.0</v>
      </c>
      <c r="F59" s="1" t="s">
        <v>1548</v>
      </c>
      <c r="G59" s="1" t="s">
        <v>1034</v>
      </c>
      <c r="H59" s="1" t="s">
        <v>768</v>
      </c>
      <c r="I59" s="1" t="s">
        <v>1260</v>
      </c>
      <c r="J59" s="1" t="s">
        <v>1260</v>
      </c>
      <c r="K59" s="1" t="s">
        <v>1401</v>
      </c>
      <c r="L59" s="1" t="s">
        <v>1037</v>
      </c>
      <c r="M59" s="1" t="s">
        <v>51</v>
      </c>
      <c r="N59" s="1" t="s">
        <v>737</v>
      </c>
      <c r="O59" s="1" t="s">
        <v>31</v>
      </c>
      <c r="P59" s="1" t="s">
        <v>1331</v>
      </c>
      <c r="Q59" s="1" t="s">
        <v>1039</v>
      </c>
      <c r="R59" s="1" t="s">
        <v>1040</v>
      </c>
      <c r="S59" s="1" t="s">
        <v>1041</v>
      </c>
      <c r="T59" s="1" t="s">
        <v>1550</v>
      </c>
      <c r="U59" s="1" t="s">
        <v>31</v>
      </c>
      <c r="V59" s="5"/>
      <c r="W59" s="5"/>
      <c r="X59" s="5"/>
      <c r="Y59" s="5"/>
      <c r="Z59" s="5"/>
    </row>
    <row r="60" ht="14.25" hidden="1" customHeight="1">
      <c r="A60" s="1" t="s">
        <v>1552</v>
      </c>
      <c r="B60" s="1">
        <v>1.1000203E7</v>
      </c>
      <c r="C60" s="1" t="str">
        <f>VLOOKUP(B60,Equipment!A$1:J$470,9,0)</f>
        <v>E</v>
      </c>
      <c r="D60" s="1" t="s">
        <v>365</v>
      </c>
      <c r="E60" s="1">
        <v>2001.0</v>
      </c>
      <c r="F60" s="1" t="s">
        <v>846</v>
      </c>
      <c r="G60" s="1" t="s">
        <v>1558</v>
      </c>
      <c r="H60" s="1" t="s">
        <v>768</v>
      </c>
      <c r="I60" s="1" t="s">
        <v>1260</v>
      </c>
      <c r="J60" s="1" t="s">
        <v>1260</v>
      </c>
      <c r="K60" s="1" t="s">
        <v>1260</v>
      </c>
      <c r="L60" s="1" t="s">
        <v>1559</v>
      </c>
      <c r="M60" s="1" t="s">
        <v>51</v>
      </c>
      <c r="N60" s="1" t="s">
        <v>737</v>
      </c>
      <c r="O60" s="1" t="s">
        <v>31</v>
      </c>
      <c r="P60" s="1" t="s">
        <v>850</v>
      </c>
      <c r="Q60" s="1" t="s">
        <v>777</v>
      </c>
      <c r="R60" s="1" t="s">
        <v>1561</v>
      </c>
      <c r="S60" s="1" t="s">
        <v>779</v>
      </c>
      <c r="T60" s="1" t="s">
        <v>1563</v>
      </c>
      <c r="U60" s="1" t="s">
        <v>31</v>
      </c>
      <c r="V60" s="5"/>
      <c r="W60" s="5"/>
      <c r="X60" s="5"/>
      <c r="Y60" s="5"/>
      <c r="Z60" s="5"/>
    </row>
    <row r="61" ht="14.25" hidden="1" customHeight="1">
      <c r="A61" s="1" t="s">
        <v>1564</v>
      </c>
      <c r="B61" s="1">
        <v>1.1000203E7</v>
      </c>
      <c r="C61" s="1" t="str">
        <f>VLOOKUP(B61,Equipment!A$1:J$470,9,0)</f>
        <v>E</v>
      </c>
      <c r="D61" s="1" t="s">
        <v>365</v>
      </c>
      <c r="E61" s="1">
        <v>2001.0</v>
      </c>
      <c r="F61" s="1" t="s">
        <v>766</v>
      </c>
      <c r="G61" s="1" t="s">
        <v>1558</v>
      </c>
      <c r="H61" s="1" t="s">
        <v>768</v>
      </c>
      <c r="I61" s="1" t="s">
        <v>1260</v>
      </c>
      <c r="J61" s="1" t="s">
        <v>1260</v>
      </c>
      <c r="K61" s="1" t="s">
        <v>1260</v>
      </c>
      <c r="L61" s="1" t="s">
        <v>1559</v>
      </c>
      <c r="M61" s="1" t="s">
        <v>51</v>
      </c>
      <c r="N61" s="1" t="s">
        <v>737</v>
      </c>
      <c r="O61" s="1" t="s">
        <v>31</v>
      </c>
      <c r="P61" s="1" t="s">
        <v>776</v>
      </c>
      <c r="Q61" s="1" t="s">
        <v>777</v>
      </c>
      <c r="R61" s="1" t="s">
        <v>1561</v>
      </c>
      <c r="S61" s="1" t="s">
        <v>779</v>
      </c>
      <c r="T61" s="1" t="s">
        <v>1563</v>
      </c>
      <c r="U61" s="1" t="s">
        <v>31</v>
      </c>
      <c r="V61" s="5"/>
      <c r="W61" s="5"/>
      <c r="X61" s="5"/>
      <c r="Y61" s="5"/>
      <c r="Z61" s="5"/>
    </row>
    <row r="62" ht="14.25" hidden="1" customHeight="1">
      <c r="A62" s="1" t="s">
        <v>1571</v>
      </c>
      <c r="B62" s="1">
        <v>1.1000203E7</v>
      </c>
      <c r="C62" s="1" t="str">
        <f>VLOOKUP(B62,Equipment!A$1:J$470,9,0)</f>
        <v>E</v>
      </c>
      <c r="D62" s="1" t="s">
        <v>365</v>
      </c>
      <c r="E62" s="1">
        <v>2001.0</v>
      </c>
      <c r="F62" s="1" t="s">
        <v>785</v>
      </c>
      <c r="G62" s="1" t="s">
        <v>1558</v>
      </c>
      <c r="H62" s="1" t="s">
        <v>768</v>
      </c>
      <c r="I62" s="1" t="s">
        <v>1260</v>
      </c>
      <c r="J62" s="1" t="s">
        <v>1260</v>
      </c>
      <c r="K62" s="1" t="s">
        <v>1260</v>
      </c>
      <c r="L62" s="1" t="s">
        <v>1559</v>
      </c>
      <c r="M62" s="1" t="s">
        <v>51</v>
      </c>
      <c r="N62" s="1" t="s">
        <v>737</v>
      </c>
      <c r="O62" s="1" t="s">
        <v>31</v>
      </c>
      <c r="P62" s="1" t="s">
        <v>789</v>
      </c>
      <c r="Q62" s="1" t="s">
        <v>777</v>
      </c>
      <c r="R62" s="1" t="s">
        <v>1561</v>
      </c>
      <c r="S62" s="1" t="s">
        <v>779</v>
      </c>
      <c r="T62" s="1" t="s">
        <v>1563</v>
      </c>
      <c r="U62" s="1" t="s">
        <v>31</v>
      </c>
      <c r="V62" s="5"/>
      <c r="W62" s="5"/>
      <c r="X62" s="5"/>
      <c r="Y62" s="5"/>
      <c r="Z62" s="5"/>
    </row>
    <row r="63" ht="14.25" hidden="1" customHeight="1">
      <c r="A63" s="1" t="s">
        <v>1582</v>
      </c>
      <c r="B63" s="1">
        <v>1.1000205E7</v>
      </c>
      <c r="C63" s="1" t="str">
        <f>VLOOKUP(B63,Equipment!A$1:J$470,9,0)</f>
        <v>E</v>
      </c>
      <c r="D63" s="1" t="s">
        <v>380</v>
      </c>
      <c r="E63" s="1">
        <v>2001.0</v>
      </c>
      <c r="F63" s="1" t="s">
        <v>766</v>
      </c>
      <c r="G63" s="1" t="s">
        <v>121</v>
      </c>
      <c r="H63" s="1" t="s">
        <v>768</v>
      </c>
      <c r="I63" s="1" t="s">
        <v>1260</v>
      </c>
      <c r="J63" s="1" t="s">
        <v>1260</v>
      </c>
      <c r="K63" s="1" t="s">
        <v>1260</v>
      </c>
      <c r="L63" s="1" t="s">
        <v>1589</v>
      </c>
      <c r="M63" s="1" t="s">
        <v>51</v>
      </c>
      <c r="N63" s="1" t="s">
        <v>737</v>
      </c>
      <c r="O63" s="1" t="s">
        <v>31</v>
      </c>
      <c r="P63" s="1" t="s">
        <v>776</v>
      </c>
      <c r="Q63" s="1" t="s">
        <v>777</v>
      </c>
      <c r="R63" s="1" t="s">
        <v>1592</v>
      </c>
      <c r="S63" s="1" t="s">
        <v>779</v>
      </c>
      <c r="T63" s="1" t="s">
        <v>1594</v>
      </c>
      <c r="U63" s="1" t="s">
        <v>31</v>
      </c>
      <c r="V63" s="5"/>
      <c r="W63" s="5"/>
      <c r="X63" s="5"/>
      <c r="Y63" s="5"/>
      <c r="Z63" s="5"/>
    </row>
    <row r="64" ht="14.25" hidden="1" customHeight="1">
      <c r="A64" s="1" t="s">
        <v>1596</v>
      </c>
      <c r="B64" s="1">
        <v>1.1000205E7</v>
      </c>
      <c r="C64" s="1" t="str">
        <f>VLOOKUP(B64,Equipment!A$1:J$470,9,0)</f>
        <v>E</v>
      </c>
      <c r="D64" s="1" t="s">
        <v>380</v>
      </c>
      <c r="E64" s="1">
        <v>2001.0</v>
      </c>
      <c r="F64" s="1" t="s">
        <v>785</v>
      </c>
      <c r="G64" s="1" t="s">
        <v>121</v>
      </c>
      <c r="H64" s="1" t="s">
        <v>768</v>
      </c>
      <c r="I64" s="1" t="s">
        <v>1260</v>
      </c>
      <c r="J64" s="1" t="s">
        <v>1260</v>
      </c>
      <c r="K64" s="1" t="s">
        <v>1260</v>
      </c>
      <c r="L64" s="1" t="s">
        <v>1589</v>
      </c>
      <c r="M64" s="1" t="s">
        <v>51</v>
      </c>
      <c r="N64" s="1" t="s">
        <v>737</v>
      </c>
      <c r="O64" s="1" t="s">
        <v>31</v>
      </c>
      <c r="P64" s="1" t="s">
        <v>812</v>
      </c>
      <c r="Q64" s="1" t="s">
        <v>777</v>
      </c>
      <c r="R64" s="1" t="s">
        <v>1592</v>
      </c>
      <c r="S64" s="1" t="s">
        <v>779</v>
      </c>
      <c r="T64" s="1" t="s">
        <v>1594</v>
      </c>
      <c r="U64" s="1" t="s">
        <v>31</v>
      </c>
      <c r="V64" s="5"/>
      <c r="W64" s="5"/>
      <c r="X64" s="5"/>
      <c r="Y64" s="5"/>
      <c r="Z64" s="5"/>
    </row>
    <row r="65" ht="14.25" hidden="1" customHeight="1">
      <c r="A65" s="1" t="s">
        <v>1601</v>
      </c>
      <c r="B65" s="1">
        <v>1.1000379E7</v>
      </c>
      <c r="C65" s="1" t="str">
        <f>VLOOKUP(B65,Equipment!A$1:J$470,9,0)</f>
        <v>E</v>
      </c>
      <c r="D65" s="1" t="s">
        <v>386</v>
      </c>
      <c r="E65" s="1">
        <v>1041.0</v>
      </c>
      <c r="F65" s="1" t="s">
        <v>1606</v>
      </c>
      <c r="G65" s="1" t="s">
        <v>68</v>
      </c>
      <c r="H65" s="1" t="s">
        <v>768</v>
      </c>
      <c r="I65" s="1" t="s">
        <v>1260</v>
      </c>
      <c r="J65" s="1" t="s">
        <v>1260</v>
      </c>
      <c r="K65" s="1" t="s">
        <v>1608</v>
      </c>
      <c r="L65" s="1" t="s">
        <v>946</v>
      </c>
      <c r="M65" s="1" t="s">
        <v>51</v>
      </c>
      <c r="N65" s="1" t="s">
        <v>737</v>
      </c>
      <c r="O65" s="1" t="s">
        <v>31</v>
      </c>
      <c r="P65" s="1" t="s">
        <v>1430</v>
      </c>
      <c r="Q65" s="1" t="s">
        <v>948</v>
      </c>
      <c r="R65" s="1" t="s">
        <v>949</v>
      </c>
      <c r="S65" s="1" t="s">
        <v>950</v>
      </c>
      <c r="T65" s="1" t="s">
        <v>952</v>
      </c>
      <c r="U65" s="1" t="s">
        <v>31</v>
      </c>
      <c r="V65" s="5"/>
      <c r="W65" s="5"/>
      <c r="X65" s="5"/>
      <c r="Y65" s="5"/>
      <c r="Z65" s="5"/>
    </row>
    <row r="66" ht="14.25" hidden="1" customHeight="1">
      <c r="A66" s="1" t="s">
        <v>1613</v>
      </c>
      <c r="B66" s="1">
        <v>1.100058E7</v>
      </c>
      <c r="C66" s="1" t="str">
        <f>VLOOKUP(B66,Equipment!A$1:J$470,9,0)</f>
        <v>E</v>
      </c>
      <c r="D66" s="1" t="s">
        <v>1370</v>
      </c>
      <c r="E66" s="1">
        <v>1031.0</v>
      </c>
      <c r="F66" s="1" t="s">
        <v>1618</v>
      </c>
      <c r="G66" s="1" t="s">
        <v>223</v>
      </c>
      <c r="H66" s="1" t="s">
        <v>768</v>
      </c>
      <c r="I66" s="1" t="s">
        <v>1260</v>
      </c>
      <c r="J66" s="1" t="s">
        <v>1260</v>
      </c>
      <c r="K66" s="1" t="s">
        <v>31</v>
      </c>
      <c r="L66" s="1" t="s">
        <v>1622</v>
      </c>
      <c r="M66" s="1" t="s">
        <v>51</v>
      </c>
      <c r="N66" s="1" t="s">
        <v>737</v>
      </c>
      <c r="O66" s="1" t="s">
        <v>31</v>
      </c>
      <c r="P66" s="1" t="s">
        <v>776</v>
      </c>
      <c r="Q66" s="1" t="s">
        <v>948</v>
      </c>
      <c r="R66" s="1" t="s">
        <v>982</v>
      </c>
      <c r="S66" s="1" t="s">
        <v>983</v>
      </c>
      <c r="T66" s="1" t="s">
        <v>1625</v>
      </c>
      <c r="U66" s="1" t="s">
        <v>31</v>
      </c>
      <c r="V66" s="5"/>
      <c r="W66" s="5"/>
      <c r="X66" s="5"/>
      <c r="Y66" s="5"/>
      <c r="Z66" s="5"/>
    </row>
    <row r="67" ht="14.25" hidden="1" customHeight="1">
      <c r="A67" s="1" t="s">
        <v>1627</v>
      </c>
      <c r="B67" s="1">
        <v>1.1000706E7</v>
      </c>
      <c r="C67" s="1" t="str">
        <f>VLOOKUP(B67,Equipment!A$1:J$470,9,0)</f>
        <v>E</v>
      </c>
      <c r="D67" s="1" t="s">
        <v>1554</v>
      </c>
      <c r="E67" s="1">
        <v>1002.0</v>
      </c>
      <c r="F67" s="1" t="s">
        <v>1630</v>
      </c>
      <c r="G67" s="1" t="s">
        <v>1176</v>
      </c>
      <c r="H67" s="1" t="s">
        <v>768</v>
      </c>
      <c r="I67" s="1" t="s">
        <v>1260</v>
      </c>
      <c r="J67" s="1" t="s">
        <v>1260</v>
      </c>
      <c r="K67" s="1" t="s">
        <v>1260</v>
      </c>
      <c r="L67" s="1" t="s">
        <v>1631</v>
      </c>
      <c r="M67" s="1" t="s">
        <v>51</v>
      </c>
      <c r="N67" s="1" t="s">
        <v>737</v>
      </c>
      <c r="O67" s="1" t="s">
        <v>31</v>
      </c>
      <c r="P67" s="1" t="s">
        <v>1637</v>
      </c>
      <c r="Q67" s="1" t="s">
        <v>948</v>
      </c>
      <c r="R67" s="1" t="s">
        <v>1638</v>
      </c>
      <c r="S67" s="1" t="s">
        <v>1000</v>
      </c>
      <c r="T67" s="1" t="s">
        <v>1640</v>
      </c>
      <c r="U67" s="1" t="s">
        <v>31</v>
      </c>
      <c r="V67" s="5"/>
      <c r="W67" s="5"/>
      <c r="X67" s="5"/>
      <c r="Y67" s="5"/>
      <c r="Z67" s="5"/>
    </row>
    <row r="68" ht="14.25" hidden="1" customHeight="1">
      <c r="A68" s="1" t="s">
        <v>1643</v>
      </c>
      <c r="B68" s="1">
        <v>1.1000726E7</v>
      </c>
      <c r="C68" s="1" t="str">
        <f>VLOOKUP(B68,Equipment!A$1:J$470,9,0)</f>
        <v>E</v>
      </c>
      <c r="D68" s="1" t="s">
        <v>1647</v>
      </c>
      <c r="E68" s="1">
        <v>1002.0</v>
      </c>
      <c r="F68" s="1" t="s">
        <v>1649</v>
      </c>
      <c r="G68" s="1" t="s">
        <v>131</v>
      </c>
      <c r="H68" s="1" t="s">
        <v>768</v>
      </c>
      <c r="I68" s="1" t="s">
        <v>1260</v>
      </c>
      <c r="J68" s="1" t="s">
        <v>1260</v>
      </c>
      <c r="K68" s="1" t="s">
        <v>1260</v>
      </c>
      <c r="L68" s="1" t="s">
        <v>1269</v>
      </c>
      <c r="M68" s="1" t="s">
        <v>51</v>
      </c>
      <c r="N68" s="1" t="s">
        <v>737</v>
      </c>
      <c r="O68" s="1" t="s">
        <v>31</v>
      </c>
      <c r="P68" s="1" t="s">
        <v>1655</v>
      </c>
      <c r="Q68" s="1" t="s">
        <v>948</v>
      </c>
      <c r="R68" s="1" t="s">
        <v>1270</v>
      </c>
      <c r="S68" s="1" t="s">
        <v>1000</v>
      </c>
      <c r="T68" s="1" t="s">
        <v>1288</v>
      </c>
      <c r="U68" s="1" t="s">
        <v>31</v>
      </c>
      <c r="V68" s="5"/>
      <c r="W68" s="5"/>
      <c r="X68" s="5"/>
      <c r="Y68" s="5"/>
      <c r="Z68" s="5"/>
    </row>
    <row r="69" ht="14.25" hidden="1" customHeight="1">
      <c r="A69" s="1" t="s">
        <v>1657</v>
      </c>
      <c r="B69" s="1">
        <v>1.1000726E7</v>
      </c>
      <c r="C69" s="1" t="str">
        <f>VLOOKUP(B69,Equipment!A$1:J$470,9,0)</f>
        <v>E</v>
      </c>
      <c r="D69" s="1" t="s">
        <v>1647</v>
      </c>
      <c r="E69" s="1">
        <v>1002.0</v>
      </c>
      <c r="F69" s="1" t="s">
        <v>1668</v>
      </c>
      <c r="G69" s="1" t="s">
        <v>131</v>
      </c>
      <c r="H69" s="1" t="s">
        <v>768</v>
      </c>
      <c r="I69" s="1" t="s">
        <v>1260</v>
      </c>
      <c r="J69" s="1" t="s">
        <v>1260</v>
      </c>
      <c r="K69" s="1" t="s">
        <v>1260</v>
      </c>
      <c r="L69" s="1" t="s">
        <v>1269</v>
      </c>
      <c r="M69" s="1" t="s">
        <v>51</v>
      </c>
      <c r="N69" s="1" t="s">
        <v>737</v>
      </c>
      <c r="O69" s="1" t="s">
        <v>31</v>
      </c>
      <c r="P69" s="1" t="s">
        <v>1671</v>
      </c>
      <c r="Q69" s="1" t="s">
        <v>948</v>
      </c>
      <c r="R69" s="1" t="s">
        <v>1270</v>
      </c>
      <c r="S69" s="1" t="s">
        <v>1000</v>
      </c>
      <c r="T69" s="1" t="s">
        <v>1288</v>
      </c>
      <c r="U69" s="1" t="s">
        <v>31</v>
      </c>
      <c r="V69" s="5"/>
      <c r="W69" s="5"/>
      <c r="X69" s="5"/>
      <c r="Y69" s="5"/>
      <c r="Z69" s="5"/>
    </row>
    <row r="70" ht="14.25" hidden="1" customHeight="1">
      <c r="A70" s="1" t="s">
        <v>1672</v>
      </c>
      <c r="B70" s="1">
        <v>1.1000726E7</v>
      </c>
      <c r="C70" s="1" t="str">
        <f>VLOOKUP(B70,Equipment!A$1:J$470,9,0)</f>
        <v>E</v>
      </c>
      <c r="D70" s="1" t="s">
        <v>1647</v>
      </c>
      <c r="E70" s="1">
        <v>1002.0</v>
      </c>
      <c r="F70" s="1" t="s">
        <v>1681</v>
      </c>
      <c r="G70" s="1" t="s">
        <v>131</v>
      </c>
      <c r="H70" s="1" t="s">
        <v>768</v>
      </c>
      <c r="I70" s="1" t="s">
        <v>1260</v>
      </c>
      <c r="J70" s="1" t="s">
        <v>1260</v>
      </c>
      <c r="K70" s="1" t="s">
        <v>1260</v>
      </c>
      <c r="L70" s="1" t="s">
        <v>1269</v>
      </c>
      <c r="M70" s="1" t="s">
        <v>51</v>
      </c>
      <c r="N70" s="1" t="s">
        <v>737</v>
      </c>
      <c r="O70" s="1" t="s">
        <v>31</v>
      </c>
      <c r="P70" s="1" t="s">
        <v>1684</v>
      </c>
      <c r="Q70" s="1" t="s">
        <v>948</v>
      </c>
      <c r="R70" s="1" t="s">
        <v>1270</v>
      </c>
      <c r="S70" s="1" t="s">
        <v>1000</v>
      </c>
      <c r="T70" s="1" t="s">
        <v>1288</v>
      </c>
      <c r="U70" s="1" t="s">
        <v>31</v>
      </c>
      <c r="V70" s="5"/>
      <c r="W70" s="5"/>
      <c r="X70" s="5"/>
      <c r="Y70" s="5"/>
      <c r="Z70" s="5"/>
    </row>
    <row r="71" ht="14.25" hidden="1" customHeight="1">
      <c r="A71" s="1" t="s">
        <v>1685</v>
      </c>
      <c r="B71" s="1">
        <v>1.1000726E7</v>
      </c>
      <c r="C71" s="1" t="str">
        <f>VLOOKUP(B71,Equipment!A$1:J$470,9,0)</f>
        <v>E</v>
      </c>
      <c r="D71" s="1" t="s">
        <v>1647</v>
      </c>
      <c r="E71" s="1">
        <v>1002.0</v>
      </c>
      <c r="F71" s="1" t="s">
        <v>1693</v>
      </c>
      <c r="G71" s="1" t="s">
        <v>131</v>
      </c>
      <c r="H71" s="1" t="s">
        <v>768</v>
      </c>
      <c r="I71" s="1" t="s">
        <v>1260</v>
      </c>
      <c r="J71" s="1" t="s">
        <v>1260</v>
      </c>
      <c r="K71" s="1" t="s">
        <v>1260</v>
      </c>
      <c r="L71" s="1" t="s">
        <v>1269</v>
      </c>
      <c r="M71" s="1" t="s">
        <v>51</v>
      </c>
      <c r="N71" s="1" t="s">
        <v>737</v>
      </c>
      <c r="O71" s="1" t="s">
        <v>31</v>
      </c>
      <c r="P71" s="1" t="s">
        <v>1697</v>
      </c>
      <c r="Q71" s="1" t="s">
        <v>948</v>
      </c>
      <c r="R71" s="1" t="s">
        <v>1270</v>
      </c>
      <c r="S71" s="1" t="s">
        <v>1000</v>
      </c>
      <c r="T71" s="1" t="s">
        <v>1288</v>
      </c>
      <c r="U71" s="1" t="s">
        <v>31</v>
      </c>
      <c r="V71" s="5"/>
      <c r="W71" s="5"/>
      <c r="X71" s="5"/>
      <c r="Y71" s="5"/>
      <c r="Z71" s="5"/>
    </row>
    <row r="72" ht="14.25" hidden="1" customHeight="1">
      <c r="A72" s="1" t="s">
        <v>1698</v>
      </c>
      <c r="B72" s="1">
        <v>1.1000808E7</v>
      </c>
      <c r="C72" s="1" t="str">
        <f>VLOOKUP(B72,Equipment!A$1:J$470,9,0)</f>
        <v>E</v>
      </c>
      <c r="D72" s="1" t="s">
        <v>1702</v>
      </c>
      <c r="E72" s="1">
        <v>2001.0</v>
      </c>
      <c r="F72" s="1" t="s">
        <v>766</v>
      </c>
      <c r="G72" s="1" t="s">
        <v>131</v>
      </c>
      <c r="H72" s="1" t="s">
        <v>31</v>
      </c>
      <c r="I72" s="1" t="s">
        <v>1260</v>
      </c>
      <c r="J72" s="1" t="s">
        <v>1260</v>
      </c>
      <c r="K72" s="1" t="s">
        <v>1260</v>
      </c>
      <c r="L72" s="1" t="s">
        <v>1704</v>
      </c>
      <c r="M72" s="1" t="s">
        <v>51</v>
      </c>
      <c r="N72" s="1" t="s">
        <v>737</v>
      </c>
      <c r="O72" s="1" t="s">
        <v>31</v>
      </c>
      <c r="P72" s="1" t="s">
        <v>1306</v>
      </c>
      <c r="Q72" s="1" t="s">
        <v>777</v>
      </c>
      <c r="R72" s="1" t="s">
        <v>131</v>
      </c>
      <c r="S72" s="1" t="s">
        <v>779</v>
      </c>
      <c r="T72" s="1" t="s">
        <v>1708</v>
      </c>
      <c r="U72" s="1" t="s">
        <v>31</v>
      </c>
      <c r="V72" s="5"/>
      <c r="W72" s="5"/>
      <c r="X72" s="5"/>
      <c r="Y72" s="5"/>
      <c r="Z72" s="5"/>
    </row>
    <row r="73" ht="14.25" hidden="1" customHeight="1">
      <c r="A73" s="1" t="s">
        <v>1712</v>
      </c>
      <c r="B73" s="1">
        <v>1.1000808E7</v>
      </c>
      <c r="C73" s="1" t="str">
        <f>VLOOKUP(B73,Equipment!A$1:J$470,9,0)</f>
        <v>E</v>
      </c>
      <c r="D73" s="1" t="s">
        <v>1702</v>
      </c>
      <c r="E73" s="1">
        <v>2001.0</v>
      </c>
      <c r="F73" s="1" t="s">
        <v>846</v>
      </c>
      <c r="G73" s="1" t="s">
        <v>131</v>
      </c>
      <c r="H73" s="1" t="s">
        <v>31</v>
      </c>
      <c r="I73" s="1" t="s">
        <v>1260</v>
      </c>
      <c r="J73" s="1" t="s">
        <v>1260</v>
      </c>
      <c r="K73" s="1" t="s">
        <v>1260</v>
      </c>
      <c r="L73" s="1" t="s">
        <v>1704</v>
      </c>
      <c r="M73" s="1" t="s">
        <v>51</v>
      </c>
      <c r="N73" s="1" t="s">
        <v>737</v>
      </c>
      <c r="O73" s="1" t="s">
        <v>31</v>
      </c>
      <c r="P73" s="1" t="s">
        <v>1718</v>
      </c>
      <c r="Q73" s="1" t="s">
        <v>777</v>
      </c>
      <c r="R73" s="1" t="s">
        <v>131</v>
      </c>
      <c r="S73" s="1" t="s">
        <v>779</v>
      </c>
      <c r="T73" s="1" t="s">
        <v>1708</v>
      </c>
      <c r="U73" s="1" t="s">
        <v>31</v>
      </c>
      <c r="V73" s="5"/>
      <c r="W73" s="5"/>
      <c r="X73" s="5"/>
      <c r="Y73" s="5"/>
      <c r="Z73" s="5"/>
    </row>
    <row r="74" ht="14.25" hidden="1" customHeight="1">
      <c r="A74" s="1" t="s">
        <v>1723</v>
      </c>
      <c r="B74" s="1">
        <v>1.1000808E7</v>
      </c>
      <c r="C74" s="1" t="str">
        <f>VLOOKUP(B74,Equipment!A$1:J$470,9,0)</f>
        <v>E</v>
      </c>
      <c r="D74" s="1" t="s">
        <v>1702</v>
      </c>
      <c r="E74" s="1">
        <v>2001.0</v>
      </c>
      <c r="F74" s="1" t="s">
        <v>785</v>
      </c>
      <c r="G74" s="1" t="s">
        <v>131</v>
      </c>
      <c r="H74" s="1" t="s">
        <v>31</v>
      </c>
      <c r="I74" s="1" t="s">
        <v>1260</v>
      </c>
      <c r="J74" s="1" t="s">
        <v>1260</v>
      </c>
      <c r="K74" s="1" t="s">
        <v>1260</v>
      </c>
      <c r="L74" s="1" t="s">
        <v>1704</v>
      </c>
      <c r="M74" s="1" t="s">
        <v>51</v>
      </c>
      <c r="N74" s="1" t="s">
        <v>737</v>
      </c>
      <c r="O74" s="1" t="s">
        <v>31</v>
      </c>
      <c r="P74" s="1" t="s">
        <v>1160</v>
      </c>
      <c r="Q74" s="1" t="s">
        <v>777</v>
      </c>
      <c r="R74" s="1" t="s">
        <v>131</v>
      </c>
      <c r="S74" s="1" t="s">
        <v>779</v>
      </c>
      <c r="T74" s="1" t="s">
        <v>1708</v>
      </c>
      <c r="U74" s="1" t="s">
        <v>31</v>
      </c>
      <c r="V74" s="5"/>
      <c r="W74" s="5"/>
      <c r="X74" s="5"/>
      <c r="Y74" s="5"/>
      <c r="Z74" s="5"/>
    </row>
    <row r="75" ht="14.25" hidden="1" customHeight="1">
      <c r="A75" s="1" t="s">
        <v>31</v>
      </c>
      <c r="B75" s="1">
        <v>1.1000936E7</v>
      </c>
      <c r="C75" s="1" t="str">
        <f>VLOOKUP(B75,Equipment!A$1:J$470,9,0)</f>
        <v>E</v>
      </c>
      <c r="D75" s="1" t="s">
        <v>1740</v>
      </c>
      <c r="E75" s="1">
        <v>1201.0</v>
      </c>
      <c r="F75" s="1" t="s">
        <v>1459</v>
      </c>
      <c r="G75" s="1" t="s">
        <v>1015</v>
      </c>
      <c r="H75" s="1" t="s">
        <v>31</v>
      </c>
      <c r="I75" s="1" t="s">
        <v>1260</v>
      </c>
      <c r="J75" s="1" t="s">
        <v>1260</v>
      </c>
      <c r="K75" s="1" t="s">
        <v>31</v>
      </c>
      <c r="L75" s="1" t="s">
        <v>1460</v>
      </c>
      <c r="M75" s="1" t="s">
        <v>51</v>
      </c>
      <c r="N75" s="1" t="s">
        <v>737</v>
      </c>
      <c r="O75" s="1" t="s">
        <v>31</v>
      </c>
      <c r="P75" s="1" t="s">
        <v>1188</v>
      </c>
      <c r="Q75" s="1" t="s">
        <v>948</v>
      </c>
      <c r="R75" s="1" t="s">
        <v>1461</v>
      </c>
      <c r="S75" s="1" t="s">
        <v>1462</v>
      </c>
      <c r="T75" s="1" t="s">
        <v>31</v>
      </c>
      <c r="U75" s="1" t="s">
        <v>31</v>
      </c>
      <c r="V75" s="5"/>
      <c r="W75" s="5"/>
      <c r="X75" s="5"/>
      <c r="Y75" s="5"/>
      <c r="Z75" s="5"/>
    </row>
    <row r="76" ht="14.25" hidden="1" customHeight="1">
      <c r="A76" s="1" t="s">
        <v>31</v>
      </c>
      <c r="B76" s="1">
        <v>1.1000937E7</v>
      </c>
      <c r="C76" s="1" t="str">
        <f>VLOOKUP(B76,Equipment!A$1:J$470,9,0)</f>
        <v>E</v>
      </c>
      <c r="D76" s="1" t="s">
        <v>1748</v>
      </c>
      <c r="E76" s="1">
        <v>1201.0</v>
      </c>
      <c r="F76" s="1" t="s">
        <v>1459</v>
      </c>
      <c r="G76" s="1" t="s">
        <v>1015</v>
      </c>
      <c r="H76" s="1" t="s">
        <v>31</v>
      </c>
      <c r="I76" s="1" t="s">
        <v>1260</v>
      </c>
      <c r="J76" s="1" t="s">
        <v>1260</v>
      </c>
      <c r="K76" s="1" t="s">
        <v>31</v>
      </c>
      <c r="L76" s="1" t="s">
        <v>1460</v>
      </c>
      <c r="M76" s="1" t="s">
        <v>51</v>
      </c>
      <c r="N76" s="1" t="s">
        <v>737</v>
      </c>
      <c r="O76" s="1" t="s">
        <v>31</v>
      </c>
      <c r="P76" s="1" t="s">
        <v>1188</v>
      </c>
      <c r="Q76" s="1" t="s">
        <v>948</v>
      </c>
      <c r="R76" s="1" t="s">
        <v>1461</v>
      </c>
      <c r="S76" s="1" t="s">
        <v>1462</v>
      </c>
      <c r="T76" s="1" t="s">
        <v>31</v>
      </c>
      <c r="U76" s="1" t="s">
        <v>31</v>
      </c>
      <c r="V76" s="5"/>
      <c r="W76" s="5"/>
      <c r="X76" s="5"/>
      <c r="Y76" s="5"/>
      <c r="Z76" s="5"/>
    </row>
    <row r="77" ht="14.25" hidden="1" customHeight="1">
      <c r="A77" s="1" t="s">
        <v>31</v>
      </c>
      <c r="B77" s="1">
        <v>1.100094E7</v>
      </c>
      <c r="C77" s="1" t="str">
        <f>VLOOKUP(B77,Equipment!A$1:J$470,9,0)</f>
        <v>E</v>
      </c>
      <c r="D77" s="1" t="s">
        <v>1758</v>
      </c>
      <c r="E77" s="1">
        <v>1201.0</v>
      </c>
      <c r="F77" s="1" t="s">
        <v>1459</v>
      </c>
      <c r="G77" s="1" t="s">
        <v>1015</v>
      </c>
      <c r="H77" s="1" t="s">
        <v>31</v>
      </c>
      <c r="I77" s="1" t="s">
        <v>1260</v>
      </c>
      <c r="J77" s="1" t="s">
        <v>1260</v>
      </c>
      <c r="K77" s="1" t="s">
        <v>31</v>
      </c>
      <c r="L77" s="1" t="s">
        <v>1460</v>
      </c>
      <c r="M77" s="1" t="s">
        <v>51</v>
      </c>
      <c r="N77" s="1" t="s">
        <v>737</v>
      </c>
      <c r="O77" s="1" t="s">
        <v>31</v>
      </c>
      <c r="P77" s="1" t="s">
        <v>1188</v>
      </c>
      <c r="Q77" s="1" t="s">
        <v>948</v>
      </c>
      <c r="R77" s="1" t="s">
        <v>1461</v>
      </c>
      <c r="S77" s="1" t="s">
        <v>1462</v>
      </c>
      <c r="T77" s="1" t="s">
        <v>31</v>
      </c>
      <c r="U77" s="1" t="s">
        <v>31</v>
      </c>
      <c r="V77" s="5"/>
      <c r="W77" s="5"/>
      <c r="X77" s="5"/>
      <c r="Y77" s="5"/>
      <c r="Z77" s="5"/>
    </row>
    <row r="78" ht="14.25" hidden="1" customHeight="1">
      <c r="A78" s="1" t="s">
        <v>31</v>
      </c>
      <c r="B78" s="1">
        <v>1.1000946E7</v>
      </c>
      <c r="C78" s="1" t="str">
        <f>VLOOKUP(B78,Equipment!A$1:J$470,9,0)</f>
        <v>E</v>
      </c>
      <c r="D78" s="1" t="s">
        <v>1768</v>
      </c>
      <c r="E78" s="1">
        <v>1201.0</v>
      </c>
      <c r="F78" s="1" t="s">
        <v>1459</v>
      </c>
      <c r="G78" s="1" t="s">
        <v>1015</v>
      </c>
      <c r="H78" s="1" t="s">
        <v>31</v>
      </c>
      <c r="I78" s="1" t="s">
        <v>1260</v>
      </c>
      <c r="J78" s="1" t="s">
        <v>1260</v>
      </c>
      <c r="K78" s="1" t="s">
        <v>31</v>
      </c>
      <c r="L78" s="1" t="s">
        <v>1460</v>
      </c>
      <c r="M78" s="1" t="s">
        <v>51</v>
      </c>
      <c r="N78" s="1" t="s">
        <v>737</v>
      </c>
      <c r="O78" s="1" t="s">
        <v>31</v>
      </c>
      <c r="P78" s="1" t="s">
        <v>1188</v>
      </c>
      <c r="Q78" s="1" t="s">
        <v>948</v>
      </c>
      <c r="R78" s="1" t="s">
        <v>1461</v>
      </c>
      <c r="S78" s="1" t="s">
        <v>1462</v>
      </c>
      <c r="T78" s="1" t="s">
        <v>31</v>
      </c>
      <c r="U78" s="1" t="s">
        <v>31</v>
      </c>
      <c r="V78" s="5"/>
      <c r="W78" s="5"/>
      <c r="X78" s="5"/>
      <c r="Y78" s="5"/>
      <c r="Z78" s="5"/>
    </row>
    <row r="79" ht="14.25" hidden="1" customHeight="1">
      <c r="A79" s="1" t="s">
        <v>31</v>
      </c>
      <c r="B79" s="1">
        <v>1.1000947E7</v>
      </c>
      <c r="C79" s="1" t="str">
        <f>VLOOKUP(B79,Equipment!A$1:J$470,9,0)</f>
        <v>E</v>
      </c>
      <c r="D79" s="1" t="s">
        <v>1771</v>
      </c>
      <c r="E79" s="1">
        <v>1201.0</v>
      </c>
      <c r="F79" s="1" t="s">
        <v>1459</v>
      </c>
      <c r="G79" s="1" t="s">
        <v>1015</v>
      </c>
      <c r="H79" s="1" t="s">
        <v>31</v>
      </c>
      <c r="I79" s="1" t="s">
        <v>1260</v>
      </c>
      <c r="J79" s="1" t="s">
        <v>1260</v>
      </c>
      <c r="K79" s="1" t="s">
        <v>31</v>
      </c>
      <c r="L79" s="1" t="s">
        <v>1460</v>
      </c>
      <c r="M79" s="1" t="s">
        <v>51</v>
      </c>
      <c r="N79" s="1" t="s">
        <v>737</v>
      </c>
      <c r="O79" s="1" t="s">
        <v>31</v>
      </c>
      <c r="P79" s="1" t="s">
        <v>1188</v>
      </c>
      <c r="Q79" s="1" t="s">
        <v>948</v>
      </c>
      <c r="R79" s="1" t="s">
        <v>1461</v>
      </c>
      <c r="S79" s="1" t="s">
        <v>1462</v>
      </c>
      <c r="T79" s="1" t="s">
        <v>31</v>
      </c>
      <c r="U79" s="1" t="s">
        <v>31</v>
      </c>
      <c r="V79" s="5"/>
      <c r="W79" s="5"/>
      <c r="X79" s="5"/>
      <c r="Y79" s="5"/>
      <c r="Z79" s="5"/>
    </row>
    <row r="80" ht="14.25" hidden="1" customHeight="1">
      <c r="A80" s="1" t="s">
        <v>31</v>
      </c>
      <c r="B80" s="1">
        <v>1.100095E7</v>
      </c>
      <c r="C80" s="1" t="str">
        <f>VLOOKUP(B80,Equipment!A$1:J$470,9,0)</f>
        <v>E</v>
      </c>
      <c r="D80" s="1" t="s">
        <v>1781</v>
      </c>
      <c r="E80" s="1">
        <v>1201.0</v>
      </c>
      <c r="F80" s="1" t="s">
        <v>1459</v>
      </c>
      <c r="G80" s="1" t="s">
        <v>1015</v>
      </c>
      <c r="H80" s="1" t="s">
        <v>31</v>
      </c>
      <c r="I80" s="1" t="s">
        <v>1260</v>
      </c>
      <c r="J80" s="1" t="s">
        <v>1260</v>
      </c>
      <c r="K80" s="1" t="s">
        <v>31</v>
      </c>
      <c r="L80" s="1" t="s">
        <v>1460</v>
      </c>
      <c r="M80" s="1" t="s">
        <v>51</v>
      </c>
      <c r="N80" s="1" t="s">
        <v>737</v>
      </c>
      <c r="O80" s="1" t="s">
        <v>31</v>
      </c>
      <c r="P80" s="1" t="s">
        <v>1188</v>
      </c>
      <c r="Q80" s="1" t="s">
        <v>948</v>
      </c>
      <c r="R80" s="1" t="s">
        <v>1461</v>
      </c>
      <c r="S80" s="1" t="s">
        <v>1462</v>
      </c>
      <c r="T80" s="1" t="s">
        <v>31</v>
      </c>
      <c r="U80" s="1" t="s">
        <v>31</v>
      </c>
      <c r="V80" s="5"/>
      <c r="W80" s="5"/>
      <c r="X80" s="5"/>
      <c r="Y80" s="5"/>
      <c r="Z80" s="5"/>
    </row>
    <row r="81" ht="14.25" hidden="1" customHeight="1">
      <c r="A81" s="1" t="s">
        <v>31</v>
      </c>
      <c r="B81" s="1">
        <v>1.1000969E7</v>
      </c>
      <c r="C81" s="1" t="str">
        <f>VLOOKUP(B81,Equipment!A$1:J$470,9,0)</f>
        <v>E</v>
      </c>
      <c r="D81" s="1" t="s">
        <v>1795</v>
      </c>
      <c r="E81" s="1">
        <v>1201.0</v>
      </c>
      <c r="F81" s="1" t="s">
        <v>1459</v>
      </c>
      <c r="G81" s="1" t="s">
        <v>1015</v>
      </c>
      <c r="H81" s="1" t="s">
        <v>31</v>
      </c>
      <c r="I81" s="1" t="s">
        <v>1260</v>
      </c>
      <c r="J81" s="1" t="s">
        <v>1260</v>
      </c>
      <c r="K81" s="1" t="s">
        <v>31</v>
      </c>
      <c r="L81" s="1" t="s">
        <v>1460</v>
      </c>
      <c r="M81" s="1" t="s">
        <v>51</v>
      </c>
      <c r="N81" s="1" t="s">
        <v>737</v>
      </c>
      <c r="O81" s="1" t="s">
        <v>31</v>
      </c>
      <c r="P81" s="1" t="s">
        <v>1188</v>
      </c>
      <c r="Q81" s="1" t="s">
        <v>948</v>
      </c>
      <c r="R81" s="1" t="s">
        <v>1461</v>
      </c>
      <c r="S81" s="1" t="s">
        <v>1462</v>
      </c>
      <c r="T81" s="1" t="s">
        <v>31</v>
      </c>
      <c r="U81" s="1" t="s">
        <v>31</v>
      </c>
      <c r="V81" s="5"/>
      <c r="W81" s="5"/>
      <c r="X81" s="5"/>
      <c r="Y81" s="5"/>
      <c r="Z81" s="5"/>
    </row>
    <row r="82" ht="14.25" hidden="1" customHeight="1">
      <c r="A82" s="1" t="s">
        <v>1806</v>
      </c>
      <c r="B82" s="1">
        <v>1.1001255E7</v>
      </c>
      <c r="C82" s="1" t="str">
        <f>VLOOKUP(B82,Equipment!A$1:J$470,9,0)</f>
        <v>E</v>
      </c>
      <c r="D82" s="1" t="s">
        <v>1314</v>
      </c>
      <c r="E82" s="1">
        <v>1001.0</v>
      </c>
      <c r="F82" s="1" t="s">
        <v>1811</v>
      </c>
      <c r="G82" s="1" t="s">
        <v>1132</v>
      </c>
      <c r="H82" s="1" t="s">
        <v>768</v>
      </c>
      <c r="I82" s="1" t="s">
        <v>1260</v>
      </c>
      <c r="J82" s="1" t="s">
        <v>1260</v>
      </c>
      <c r="K82" s="1" t="s">
        <v>1260</v>
      </c>
      <c r="L82" s="1" t="s">
        <v>1815</v>
      </c>
      <c r="M82" s="1" t="s">
        <v>51</v>
      </c>
      <c r="N82" s="1" t="s">
        <v>737</v>
      </c>
      <c r="O82" s="1" t="s">
        <v>31</v>
      </c>
      <c r="P82" s="1" t="s">
        <v>1637</v>
      </c>
      <c r="Q82" s="1" t="s">
        <v>948</v>
      </c>
      <c r="R82" s="1" t="s">
        <v>1820</v>
      </c>
      <c r="S82" s="1" t="s">
        <v>1139</v>
      </c>
      <c r="T82" s="1" t="s">
        <v>1821</v>
      </c>
      <c r="U82" s="1" t="s">
        <v>31</v>
      </c>
      <c r="V82" s="5"/>
      <c r="W82" s="5"/>
      <c r="X82" s="5"/>
      <c r="Y82" s="5"/>
      <c r="Z82" s="5"/>
    </row>
    <row r="83" ht="14.25" hidden="1" customHeight="1">
      <c r="A83" s="1" t="s">
        <v>1822</v>
      </c>
      <c r="B83" s="1">
        <v>1.1001255E7</v>
      </c>
      <c r="C83" s="1" t="str">
        <f>VLOOKUP(B83,Equipment!A$1:J$470,9,0)</f>
        <v>E</v>
      </c>
      <c r="D83" s="1" t="s">
        <v>1314</v>
      </c>
      <c r="E83" s="1">
        <v>1001.0</v>
      </c>
      <c r="F83" s="1" t="s">
        <v>1811</v>
      </c>
      <c r="G83" s="1" t="s">
        <v>1132</v>
      </c>
      <c r="H83" s="1" t="s">
        <v>768</v>
      </c>
      <c r="I83" s="1" t="s">
        <v>1260</v>
      </c>
      <c r="J83" s="1" t="s">
        <v>1260</v>
      </c>
      <c r="K83" s="1" t="s">
        <v>1260</v>
      </c>
      <c r="L83" s="1" t="s">
        <v>1815</v>
      </c>
      <c r="M83" s="1" t="s">
        <v>51</v>
      </c>
      <c r="N83" s="1" t="s">
        <v>737</v>
      </c>
      <c r="O83" s="1" t="s">
        <v>31</v>
      </c>
      <c r="P83" s="1" t="s">
        <v>1832</v>
      </c>
      <c r="Q83" s="1" t="s">
        <v>948</v>
      </c>
      <c r="R83" s="1" t="s">
        <v>1820</v>
      </c>
      <c r="S83" s="1" t="s">
        <v>1139</v>
      </c>
      <c r="T83" s="1" t="s">
        <v>1821</v>
      </c>
      <c r="U83" s="1" t="s">
        <v>31</v>
      </c>
      <c r="V83" s="5"/>
      <c r="W83" s="5"/>
      <c r="X83" s="5"/>
      <c r="Y83" s="5"/>
      <c r="Z83" s="5"/>
    </row>
    <row r="84" ht="14.25" hidden="1" customHeight="1">
      <c r="A84" s="1" t="s">
        <v>1835</v>
      </c>
      <c r="B84" s="1">
        <v>1.1001284E7</v>
      </c>
      <c r="C84" s="1" t="str">
        <f>VLOOKUP(B84,Equipment!A$1:J$470,9,0)</f>
        <v>E</v>
      </c>
      <c r="D84" s="1" t="s">
        <v>1307</v>
      </c>
      <c r="E84" s="1">
        <v>1001.0</v>
      </c>
      <c r="F84" s="1" t="s">
        <v>1308</v>
      </c>
      <c r="G84" s="1" t="s">
        <v>1132</v>
      </c>
      <c r="H84" s="1" t="s">
        <v>768</v>
      </c>
      <c r="I84" s="1" t="s">
        <v>1260</v>
      </c>
      <c r="J84" s="1" t="s">
        <v>1260</v>
      </c>
      <c r="K84" s="1" t="s">
        <v>1260</v>
      </c>
      <c r="L84" s="1" t="s">
        <v>1312</v>
      </c>
      <c r="M84" s="1" t="s">
        <v>51</v>
      </c>
      <c r="N84" s="1" t="s">
        <v>737</v>
      </c>
      <c r="O84" s="1" t="s">
        <v>31</v>
      </c>
      <c r="P84" s="1" t="s">
        <v>998</v>
      </c>
      <c r="Q84" s="1" t="s">
        <v>948</v>
      </c>
      <c r="R84" s="1" t="s">
        <v>1319</v>
      </c>
      <c r="S84" s="1" t="s">
        <v>1139</v>
      </c>
      <c r="T84" s="1" t="s">
        <v>1319</v>
      </c>
      <c r="U84" s="1" t="s">
        <v>31</v>
      </c>
      <c r="V84" s="5"/>
      <c r="W84" s="5"/>
      <c r="X84" s="5"/>
      <c r="Y84" s="5"/>
      <c r="Z84" s="5"/>
    </row>
    <row r="85" ht="14.25" hidden="1" customHeight="1">
      <c r="A85" s="1" t="s">
        <v>1849</v>
      </c>
      <c r="B85" s="1">
        <v>2.1000037E7</v>
      </c>
      <c r="C85" s="1" t="str">
        <f>VLOOKUP(B85,Equipment!A$1:J$470,9,0)</f>
        <v>U</v>
      </c>
      <c r="D85" s="1" t="s">
        <v>1853</v>
      </c>
      <c r="E85" s="1">
        <v>1001.0</v>
      </c>
      <c r="F85" s="1" t="s">
        <v>1854</v>
      </c>
      <c r="G85" s="1" t="s">
        <v>1233</v>
      </c>
      <c r="H85" s="1" t="s">
        <v>768</v>
      </c>
      <c r="I85" s="1" t="s">
        <v>1260</v>
      </c>
      <c r="J85" s="1" t="s">
        <v>1260</v>
      </c>
      <c r="K85" s="1" t="s">
        <v>1260</v>
      </c>
      <c r="L85" s="1" t="s">
        <v>1237</v>
      </c>
      <c r="M85" s="1" t="s">
        <v>51</v>
      </c>
      <c r="N85" s="1" t="s">
        <v>737</v>
      </c>
      <c r="O85" s="1" t="s">
        <v>31</v>
      </c>
      <c r="P85" s="1" t="s">
        <v>789</v>
      </c>
      <c r="Q85" s="1" t="s">
        <v>948</v>
      </c>
      <c r="R85" s="1" t="s">
        <v>1082</v>
      </c>
      <c r="S85" s="1" t="s">
        <v>1139</v>
      </c>
      <c r="T85" s="1" t="s">
        <v>1140</v>
      </c>
      <c r="U85" s="1" t="s">
        <v>31</v>
      </c>
      <c r="V85" s="5"/>
      <c r="W85" s="5"/>
      <c r="X85" s="5"/>
      <c r="Y85" s="5"/>
      <c r="Z85" s="5"/>
    </row>
    <row r="86" ht="14.25" hidden="1" customHeight="1">
      <c r="A86" s="1" t="s">
        <v>1859</v>
      </c>
      <c r="B86" s="1">
        <v>2.1000756E7</v>
      </c>
      <c r="C86" s="1" t="str">
        <f>VLOOKUP(B86,Equipment!A$1:J$470,9,0)</f>
        <v>#N/A</v>
      </c>
      <c r="D86" s="1" t="s">
        <v>1866</v>
      </c>
      <c r="E86" s="1">
        <v>1031.0</v>
      </c>
      <c r="F86" s="1" t="s">
        <v>1867</v>
      </c>
      <c r="G86" s="1" t="s">
        <v>1082</v>
      </c>
      <c r="H86" s="1" t="s">
        <v>768</v>
      </c>
      <c r="I86" s="1" t="s">
        <v>1260</v>
      </c>
      <c r="J86" s="1" t="s">
        <v>1260</v>
      </c>
      <c r="K86" s="1" t="s">
        <v>31</v>
      </c>
      <c r="L86" s="1" t="s">
        <v>1085</v>
      </c>
      <c r="M86" s="1" t="s">
        <v>51</v>
      </c>
      <c r="N86" s="1" t="s">
        <v>737</v>
      </c>
      <c r="O86" s="1" t="s">
        <v>31</v>
      </c>
      <c r="P86" s="1" t="s">
        <v>776</v>
      </c>
      <c r="Q86" s="1" t="s">
        <v>948</v>
      </c>
      <c r="R86" s="1" t="s">
        <v>1869</v>
      </c>
      <c r="S86" s="1" t="s">
        <v>983</v>
      </c>
      <c r="T86" s="1" t="s">
        <v>1089</v>
      </c>
      <c r="U86" s="1" t="s">
        <v>31</v>
      </c>
      <c r="V86" s="5"/>
      <c r="W86" s="5"/>
      <c r="X86" s="5"/>
      <c r="Y86" s="5"/>
      <c r="Z86" s="5"/>
    </row>
    <row r="87" ht="14.25" hidden="1" customHeight="1">
      <c r="A87" s="1" t="s">
        <v>1870</v>
      </c>
      <c r="B87" s="1">
        <v>2.1000992E7</v>
      </c>
      <c r="C87" s="1" t="str">
        <f>VLOOKUP(B87,Equipment!A$1:J$470,9,0)</f>
        <v>#N/A</v>
      </c>
      <c r="D87" s="1" t="s">
        <v>1872</v>
      </c>
      <c r="E87" s="1">
        <v>1004.0</v>
      </c>
      <c r="F87" s="1" t="s">
        <v>1874</v>
      </c>
      <c r="G87" s="1" t="s">
        <v>1219</v>
      </c>
      <c r="H87" s="1" t="s">
        <v>768</v>
      </c>
      <c r="I87" s="1" t="s">
        <v>1260</v>
      </c>
      <c r="J87" s="1" t="s">
        <v>1260</v>
      </c>
      <c r="K87" s="1" t="s">
        <v>1260</v>
      </c>
      <c r="L87" s="1" t="s">
        <v>1213</v>
      </c>
      <c r="M87" s="1" t="s">
        <v>51</v>
      </c>
      <c r="N87" s="1" t="s">
        <v>737</v>
      </c>
      <c r="O87" s="1" t="s">
        <v>31</v>
      </c>
      <c r="P87" s="1" t="s">
        <v>1215</v>
      </c>
      <c r="Q87" s="1" t="s">
        <v>948</v>
      </c>
      <c r="R87" s="1" t="s">
        <v>1219</v>
      </c>
      <c r="S87" s="1" t="s">
        <v>1220</v>
      </c>
      <c r="T87" s="1" t="s">
        <v>1222</v>
      </c>
      <c r="U87" s="1" t="s">
        <v>31</v>
      </c>
      <c r="V87" s="5"/>
      <c r="W87" s="5"/>
      <c r="X87" s="5"/>
      <c r="Y87" s="5"/>
      <c r="Z87" s="5"/>
    </row>
    <row r="88" ht="14.25" hidden="1" customHeight="1">
      <c r="A88" s="1" t="s">
        <v>1882</v>
      </c>
      <c r="B88" s="1">
        <v>2.1000993E7</v>
      </c>
      <c r="C88" s="1" t="str">
        <f>VLOOKUP(B88,Equipment!A$1:J$470,9,0)</f>
        <v>#N/A</v>
      </c>
      <c r="D88" s="1" t="s">
        <v>1892</v>
      </c>
      <c r="E88" s="1">
        <v>1004.0</v>
      </c>
      <c r="F88" s="1" t="s">
        <v>1893</v>
      </c>
      <c r="G88" s="1" t="s">
        <v>1219</v>
      </c>
      <c r="H88" s="1" t="s">
        <v>768</v>
      </c>
      <c r="I88" s="1" t="s">
        <v>1260</v>
      </c>
      <c r="J88" s="1" t="s">
        <v>1260</v>
      </c>
      <c r="K88" s="1" t="s">
        <v>1260</v>
      </c>
      <c r="L88" s="1" t="s">
        <v>1213</v>
      </c>
      <c r="M88" s="1" t="s">
        <v>51</v>
      </c>
      <c r="N88" s="1" t="s">
        <v>737</v>
      </c>
      <c r="O88" s="1" t="s">
        <v>31</v>
      </c>
      <c r="P88" s="1" t="s">
        <v>1215</v>
      </c>
      <c r="Q88" s="1" t="s">
        <v>948</v>
      </c>
      <c r="R88" s="1" t="s">
        <v>1219</v>
      </c>
      <c r="S88" s="1" t="s">
        <v>1220</v>
      </c>
      <c r="T88" s="1" t="s">
        <v>1222</v>
      </c>
      <c r="U88" s="1" t="s">
        <v>31</v>
      </c>
      <c r="V88" s="5"/>
      <c r="W88" s="5"/>
      <c r="X88" s="5"/>
      <c r="Y88" s="5"/>
      <c r="Z88" s="5"/>
    </row>
    <row r="89" ht="14.25" hidden="1" customHeight="1">
      <c r="A89" s="1" t="s">
        <v>1894</v>
      </c>
      <c r="B89" s="1">
        <v>2.1000994E7</v>
      </c>
      <c r="C89" s="1" t="str">
        <f>VLOOKUP(B89,Equipment!A$1:J$470,9,0)</f>
        <v>#N/A</v>
      </c>
      <c r="D89" s="1" t="s">
        <v>1903</v>
      </c>
      <c r="E89" s="1">
        <v>1004.0</v>
      </c>
      <c r="F89" s="1" t="s">
        <v>1905</v>
      </c>
      <c r="G89" s="1" t="s">
        <v>1219</v>
      </c>
      <c r="H89" s="1" t="s">
        <v>768</v>
      </c>
      <c r="I89" s="1" t="s">
        <v>1260</v>
      </c>
      <c r="J89" s="1" t="s">
        <v>1260</v>
      </c>
      <c r="K89" s="1" t="s">
        <v>1260</v>
      </c>
      <c r="L89" s="1" t="s">
        <v>1213</v>
      </c>
      <c r="M89" s="1" t="s">
        <v>51</v>
      </c>
      <c r="N89" s="1" t="s">
        <v>737</v>
      </c>
      <c r="O89" s="1" t="s">
        <v>31</v>
      </c>
      <c r="P89" s="1" t="s">
        <v>1215</v>
      </c>
      <c r="Q89" s="1" t="s">
        <v>948</v>
      </c>
      <c r="R89" s="1" t="s">
        <v>1219</v>
      </c>
      <c r="S89" s="1" t="s">
        <v>1220</v>
      </c>
      <c r="T89" s="1" t="s">
        <v>1222</v>
      </c>
      <c r="U89" s="1" t="s">
        <v>31</v>
      </c>
      <c r="V89" s="5"/>
      <c r="W89" s="5"/>
      <c r="X89" s="5"/>
      <c r="Y89" s="5"/>
      <c r="Z89" s="5"/>
    </row>
    <row r="90" ht="14.25" hidden="1" customHeight="1">
      <c r="A90" s="1" t="s">
        <v>1909</v>
      </c>
      <c r="B90" s="1">
        <v>2.1000995E7</v>
      </c>
      <c r="C90" s="1" t="str">
        <f>VLOOKUP(B90,Equipment!A$1:J$470,9,0)</f>
        <v>#N/A</v>
      </c>
      <c r="D90" s="1" t="s">
        <v>1919</v>
      </c>
      <c r="E90" s="1">
        <v>1004.0</v>
      </c>
      <c r="F90" s="1" t="s">
        <v>1920</v>
      </c>
      <c r="G90" s="1" t="s">
        <v>1219</v>
      </c>
      <c r="H90" s="1" t="s">
        <v>768</v>
      </c>
      <c r="I90" s="1" t="s">
        <v>1260</v>
      </c>
      <c r="J90" s="1" t="s">
        <v>1260</v>
      </c>
      <c r="K90" s="1" t="s">
        <v>1260</v>
      </c>
      <c r="L90" s="1" t="s">
        <v>1213</v>
      </c>
      <c r="M90" s="1" t="s">
        <v>51</v>
      </c>
      <c r="N90" s="1" t="s">
        <v>737</v>
      </c>
      <c r="O90" s="1" t="s">
        <v>31</v>
      </c>
      <c r="P90" s="1" t="s">
        <v>1215</v>
      </c>
      <c r="Q90" s="1" t="s">
        <v>948</v>
      </c>
      <c r="R90" s="1" t="s">
        <v>1219</v>
      </c>
      <c r="S90" s="1" t="s">
        <v>1220</v>
      </c>
      <c r="T90" s="1" t="s">
        <v>1222</v>
      </c>
      <c r="U90" s="1" t="s">
        <v>31</v>
      </c>
      <c r="V90" s="5"/>
      <c r="W90" s="5"/>
      <c r="X90" s="5"/>
      <c r="Y90" s="5"/>
      <c r="Z90" s="5"/>
    </row>
    <row r="91" ht="14.25" hidden="1" customHeight="1">
      <c r="A91" s="1" t="s">
        <v>1924</v>
      </c>
      <c r="B91" s="1">
        <v>1.1000204E7</v>
      </c>
      <c r="C91" s="1" t="str">
        <f>VLOOKUP(B91,Equipment!A$1:J$470,9,0)</f>
        <v>E</v>
      </c>
      <c r="D91" s="1" t="s">
        <v>372</v>
      </c>
      <c r="E91" s="1">
        <v>2001.0</v>
      </c>
      <c r="F91" s="1" t="s">
        <v>785</v>
      </c>
      <c r="G91" s="1" t="s">
        <v>121</v>
      </c>
      <c r="H91" s="1" t="s">
        <v>768</v>
      </c>
      <c r="I91" s="1" t="s">
        <v>1401</v>
      </c>
      <c r="J91" s="1" t="s">
        <v>1401</v>
      </c>
      <c r="K91" s="1" t="s">
        <v>1401</v>
      </c>
      <c r="L91" s="1" t="s">
        <v>1931</v>
      </c>
      <c r="M91" s="1" t="s">
        <v>51</v>
      </c>
      <c r="N91" s="1" t="s">
        <v>737</v>
      </c>
      <c r="O91" s="1" t="s">
        <v>31</v>
      </c>
      <c r="P91" s="1" t="s">
        <v>789</v>
      </c>
      <c r="Q91" s="1" t="s">
        <v>777</v>
      </c>
      <c r="R91" s="1" t="s">
        <v>842</v>
      </c>
      <c r="S91" s="1" t="s">
        <v>779</v>
      </c>
      <c r="T91" s="1" t="s">
        <v>1933</v>
      </c>
      <c r="U91" s="1" t="s">
        <v>31</v>
      </c>
      <c r="V91" s="5"/>
      <c r="W91" s="5"/>
      <c r="X91" s="5"/>
      <c r="Y91" s="5"/>
      <c r="Z91" s="5"/>
    </row>
    <row r="92" ht="14.25" hidden="1" customHeight="1">
      <c r="A92" s="1" t="s">
        <v>1935</v>
      </c>
      <c r="B92" s="1">
        <v>1.1000204E7</v>
      </c>
      <c r="C92" s="1" t="str">
        <f>VLOOKUP(B92,Equipment!A$1:J$470,9,0)</f>
        <v>E</v>
      </c>
      <c r="D92" s="1" t="s">
        <v>372</v>
      </c>
      <c r="E92" s="1">
        <v>2001.0</v>
      </c>
      <c r="F92" s="1" t="s">
        <v>766</v>
      </c>
      <c r="G92" s="1" t="s">
        <v>121</v>
      </c>
      <c r="H92" s="1" t="s">
        <v>768</v>
      </c>
      <c r="I92" s="1" t="s">
        <v>1401</v>
      </c>
      <c r="J92" s="1" t="s">
        <v>1401</v>
      </c>
      <c r="K92" s="1" t="s">
        <v>1401</v>
      </c>
      <c r="L92" s="1" t="s">
        <v>1931</v>
      </c>
      <c r="M92" s="1" t="s">
        <v>51</v>
      </c>
      <c r="N92" s="1" t="s">
        <v>737</v>
      </c>
      <c r="O92" s="1" t="s">
        <v>31</v>
      </c>
      <c r="P92" s="1" t="s">
        <v>776</v>
      </c>
      <c r="Q92" s="1" t="s">
        <v>777</v>
      </c>
      <c r="R92" s="1" t="s">
        <v>842</v>
      </c>
      <c r="S92" s="1" t="s">
        <v>779</v>
      </c>
      <c r="T92" s="1" t="s">
        <v>1933</v>
      </c>
      <c r="U92" s="1" t="s">
        <v>31</v>
      </c>
      <c r="V92" s="5"/>
      <c r="W92" s="5"/>
      <c r="X92" s="5"/>
      <c r="Y92" s="5"/>
      <c r="Z92" s="5"/>
    </row>
    <row r="93" ht="14.25" hidden="1" customHeight="1">
      <c r="A93" s="1" t="s">
        <v>1941</v>
      </c>
      <c r="B93" s="1">
        <v>1.1000256E7</v>
      </c>
      <c r="C93" s="1" t="str">
        <f>VLOOKUP(B93,Equipment!A$1:J$470,9,0)</f>
        <v>E</v>
      </c>
      <c r="D93" s="1" t="s">
        <v>523</v>
      </c>
      <c r="E93" s="1">
        <v>2001.0</v>
      </c>
      <c r="F93" s="1" t="s">
        <v>785</v>
      </c>
      <c r="G93" s="1" t="s">
        <v>131</v>
      </c>
      <c r="H93" s="1" t="s">
        <v>768</v>
      </c>
      <c r="I93" s="1" t="s">
        <v>1401</v>
      </c>
      <c r="J93" s="1" t="s">
        <v>1401</v>
      </c>
      <c r="K93" s="1" t="s">
        <v>1401</v>
      </c>
      <c r="L93" s="1" t="s">
        <v>1947</v>
      </c>
      <c r="M93" s="1" t="s">
        <v>51</v>
      </c>
      <c r="N93" s="1" t="s">
        <v>737</v>
      </c>
      <c r="O93" s="1" t="s">
        <v>1948</v>
      </c>
      <c r="P93" s="1" t="s">
        <v>789</v>
      </c>
      <c r="Q93" s="1" t="s">
        <v>777</v>
      </c>
      <c r="R93" s="1" t="s">
        <v>928</v>
      </c>
      <c r="S93" s="1" t="s">
        <v>779</v>
      </c>
      <c r="T93" s="1" t="s">
        <v>1949</v>
      </c>
      <c r="U93" s="1" t="s">
        <v>31</v>
      </c>
      <c r="V93" s="5"/>
      <c r="W93" s="5"/>
      <c r="X93" s="5"/>
      <c r="Y93" s="5"/>
      <c r="Z93" s="5"/>
    </row>
    <row r="94" ht="14.25" hidden="1" customHeight="1">
      <c r="A94" s="1" t="s">
        <v>1951</v>
      </c>
      <c r="B94" s="1">
        <v>1.1000451E7</v>
      </c>
      <c r="C94" s="1" t="str">
        <f>VLOOKUP(B94,Equipment!A$1:J$470,9,0)</f>
        <v>E</v>
      </c>
      <c r="D94" s="1" t="s">
        <v>959</v>
      </c>
      <c r="E94" s="1">
        <v>1041.0</v>
      </c>
      <c r="F94" s="1" t="s">
        <v>1952</v>
      </c>
      <c r="G94" s="1" t="s">
        <v>68</v>
      </c>
      <c r="H94" s="1" t="s">
        <v>768</v>
      </c>
      <c r="I94" s="1" t="s">
        <v>1401</v>
      </c>
      <c r="J94" s="1" t="s">
        <v>1401</v>
      </c>
      <c r="K94" s="1" t="s">
        <v>1608</v>
      </c>
      <c r="L94" s="1" t="s">
        <v>1954</v>
      </c>
      <c r="M94" s="1" t="s">
        <v>51</v>
      </c>
      <c r="N94" s="1" t="s">
        <v>737</v>
      </c>
      <c r="O94" s="1" t="s">
        <v>31</v>
      </c>
      <c r="P94" s="1" t="s">
        <v>1345</v>
      </c>
      <c r="Q94" s="1" t="s">
        <v>948</v>
      </c>
      <c r="R94" s="1" t="s">
        <v>965</v>
      </c>
      <c r="S94" s="1" t="s">
        <v>950</v>
      </c>
      <c r="T94" s="1" t="s">
        <v>1956</v>
      </c>
      <c r="U94" s="1" t="s">
        <v>31</v>
      </c>
      <c r="V94" s="5"/>
      <c r="W94" s="5"/>
      <c r="X94" s="5"/>
      <c r="Y94" s="5"/>
      <c r="Z94" s="5"/>
    </row>
    <row r="95" ht="14.25" hidden="1" customHeight="1">
      <c r="A95" s="1" t="s">
        <v>1960</v>
      </c>
      <c r="B95" s="1">
        <v>1.1000482E7</v>
      </c>
      <c r="C95" s="1" t="str">
        <f>VLOOKUP(B95,Equipment!A$1:J$470,9,0)</f>
        <v>E</v>
      </c>
      <c r="D95" s="1" t="s">
        <v>100</v>
      </c>
      <c r="E95" s="1">
        <v>1041.0</v>
      </c>
      <c r="F95" s="1" t="s">
        <v>1966</v>
      </c>
      <c r="G95" s="1" t="s">
        <v>68</v>
      </c>
      <c r="H95" s="1" t="s">
        <v>768</v>
      </c>
      <c r="I95" s="1" t="s">
        <v>1401</v>
      </c>
      <c r="J95" s="1" t="s">
        <v>1401</v>
      </c>
      <c r="K95" s="1" t="s">
        <v>1608</v>
      </c>
      <c r="L95" s="1" t="s">
        <v>1967</v>
      </c>
      <c r="M95" s="1" t="s">
        <v>51</v>
      </c>
      <c r="N95" s="1" t="s">
        <v>737</v>
      </c>
      <c r="O95" s="1" t="s">
        <v>31</v>
      </c>
      <c r="P95" s="1" t="s">
        <v>1345</v>
      </c>
      <c r="Q95" s="1" t="s">
        <v>948</v>
      </c>
      <c r="R95" s="1" t="s">
        <v>965</v>
      </c>
      <c r="S95" s="1" t="s">
        <v>950</v>
      </c>
      <c r="T95" s="1" t="s">
        <v>1972</v>
      </c>
      <c r="U95" s="1" t="s">
        <v>31</v>
      </c>
      <c r="V95" s="5"/>
      <c r="W95" s="5"/>
      <c r="X95" s="5"/>
      <c r="Y95" s="5"/>
      <c r="Z95" s="5"/>
    </row>
    <row r="96" ht="14.25" hidden="1" customHeight="1">
      <c r="A96" s="1" t="s">
        <v>1979</v>
      </c>
      <c r="B96" s="1">
        <v>1.1000568E7</v>
      </c>
      <c r="C96" s="1" t="str">
        <f>VLOOKUP(B96,Equipment!A$1:J$470,9,0)</f>
        <v>E</v>
      </c>
      <c r="D96" s="1" t="s">
        <v>1287</v>
      </c>
      <c r="E96" s="1">
        <v>1031.0</v>
      </c>
      <c r="F96" s="1" t="s">
        <v>1981</v>
      </c>
      <c r="G96" s="1" t="s">
        <v>1176</v>
      </c>
      <c r="H96" s="1" t="s">
        <v>768</v>
      </c>
      <c r="I96" s="1" t="s">
        <v>1401</v>
      </c>
      <c r="J96" s="1" t="s">
        <v>1401</v>
      </c>
      <c r="K96" s="1" t="s">
        <v>31</v>
      </c>
      <c r="L96" s="1" t="s">
        <v>1982</v>
      </c>
      <c r="M96" s="1" t="s">
        <v>51</v>
      </c>
      <c r="N96" s="1" t="s">
        <v>737</v>
      </c>
      <c r="O96" s="1" t="s">
        <v>31</v>
      </c>
      <c r="P96" s="1" t="s">
        <v>776</v>
      </c>
      <c r="Q96" s="1" t="s">
        <v>948</v>
      </c>
      <c r="R96" s="1" t="s">
        <v>1986</v>
      </c>
      <c r="S96" s="1" t="s">
        <v>983</v>
      </c>
      <c r="T96" s="1" t="s">
        <v>1988</v>
      </c>
      <c r="U96" s="1" t="s">
        <v>31</v>
      </c>
      <c r="V96" s="5"/>
      <c r="W96" s="5"/>
      <c r="X96" s="5"/>
      <c r="Y96" s="5"/>
      <c r="Z96" s="5"/>
    </row>
    <row r="97" ht="14.25" hidden="1" customHeight="1">
      <c r="A97" s="1" t="s">
        <v>1991</v>
      </c>
      <c r="B97" s="1">
        <v>1.100072E7</v>
      </c>
      <c r="C97" s="1" t="str">
        <f>VLOOKUP(B97,Equipment!A$1:J$470,9,0)</f>
        <v>E</v>
      </c>
      <c r="D97" s="1" t="s">
        <v>1616</v>
      </c>
      <c r="E97" s="1">
        <v>1002.0</v>
      </c>
      <c r="F97" s="1" t="s">
        <v>1995</v>
      </c>
      <c r="G97" s="1" t="s">
        <v>131</v>
      </c>
      <c r="H97" s="1" t="s">
        <v>768</v>
      </c>
      <c r="I97" s="1" t="s">
        <v>1401</v>
      </c>
      <c r="J97" s="1" t="s">
        <v>1401</v>
      </c>
      <c r="K97" s="1" t="s">
        <v>1401</v>
      </c>
      <c r="L97" s="1" t="s">
        <v>1269</v>
      </c>
      <c r="M97" s="1" t="s">
        <v>51</v>
      </c>
      <c r="N97" s="1" t="s">
        <v>737</v>
      </c>
      <c r="O97" s="1" t="s">
        <v>31</v>
      </c>
      <c r="P97" s="1" t="s">
        <v>1671</v>
      </c>
      <c r="Q97" s="1" t="s">
        <v>948</v>
      </c>
      <c r="R97" s="1" t="s">
        <v>1286</v>
      </c>
      <c r="S97" s="1" t="s">
        <v>1000</v>
      </c>
      <c r="T97" s="1" t="s">
        <v>1288</v>
      </c>
      <c r="U97" s="1" t="s">
        <v>31</v>
      </c>
      <c r="V97" s="5"/>
      <c r="W97" s="5"/>
      <c r="X97" s="5"/>
      <c r="Y97" s="5"/>
      <c r="Z97" s="5"/>
    </row>
    <row r="98" ht="14.25" hidden="1" customHeight="1">
      <c r="A98" s="1" t="s">
        <v>1998</v>
      </c>
      <c r="B98" s="1">
        <v>1.100072E7</v>
      </c>
      <c r="C98" s="1" t="str">
        <f>VLOOKUP(B98,Equipment!A$1:J$470,9,0)</f>
        <v>E</v>
      </c>
      <c r="D98" s="1" t="s">
        <v>1616</v>
      </c>
      <c r="E98" s="1">
        <v>1002.0</v>
      </c>
      <c r="F98" s="1" t="s">
        <v>1995</v>
      </c>
      <c r="G98" s="1" t="s">
        <v>131</v>
      </c>
      <c r="H98" s="1" t="s">
        <v>768</v>
      </c>
      <c r="I98" s="1" t="s">
        <v>1401</v>
      </c>
      <c r="J98" s="1" t="s">
        <v>1401</v>
      </c>
      <c r="K98" s="1" t="s">
        <v>1401</v>
      </c>
      <c r="L98" s="1" t="s">
        <v>1269</v>
      </c>
      <c r="M98" s="1" t="s">
        <v>51</v>
      </c>
      <c r="N98" s="1" t="s">
        <v>737</v>
      </c>
      <c r="O98" s="1" t="s">
        <v>31</v>
      </c>
      <c r="P98" s="1" t="s">
        <v>2007</v>
      </c>
      <c r="Q98" s="1" t="s">
        <v>948</v>
      </c>
      <c r="R98" s="1" t="s">
        <v>1286</v>
      </c>
      <c r="S98" s="1" t="s">
        <v>1000</v>
      </c>
      <c r="T98" s="1" t="s">
        <v>1288</v>
      </c>
      <c r="U98" s="1" t="s">
        <v>31</v>
      </c>
      <c r="V98" s="5"/>
      <c r="W98" s="5"/>
      <c r="X98" s="5"/>
      <c r="Y98" s="5"/>
      <c r="Z98" s="5"/>
    </row>
    <row r="99" ht="14.25" hidden="1" customHeight="1">
      <c r="A99" s="1" t="s">
        <v>31</v>
      </c>
      <c r="B99" s="1">
        <v>1.1000913E7</v>
      </c>
      <c r="C99" s="1" t="str">
        <f>VLOOKUP(B99,Equipment!A$1:J$470,9,0)</f>
        <v>E</v>
      </c>
      <c r="D99" s="1" t="s">
        <v>2009</v>
      </c>
      <c r="E99" s="1">
        <v>1201.0</v>
      </c>
      <c r="F99" s="1" t="s">
        <v>1459</v>
      </c>
      <c r="G99" s="1" t="s">
        <v>1015</v>
      </c>
      <c r="H99" s="1" t="s">
        <v>31</v>
      </c>
      <c r="I99" s="1" t="s">
        <v>1401</v>
      </c>
      <c r="J99" s="1" t="s">
        <v>1401</v>
      </c>
      <c r="K99" s="1" t="s">
        <v>31</v>
      </c>
      <c r="L99" s="1" t="s">
        <v>1460</v>
      </c>
      <c r="M99" s="1" t="s">
        <v>51</v>
      </c>
      <c r="N99" s="1" t="s">
        <v>737</v>
      </c>
      <c r="O99" s="1" t="s">
        <v>31</v>
      </c>
      <c r="P99" s="1" t="s">
        <v>1188</v>
      </c>
      <c r="Q99" s="1" t="s">
        <v>948</v>
      </c>
      <c r="R99" s="1" t="s">
        <v>1461</v>
      </c>
      <c r="S99" s="1" t="s">
        <v>1462</v>
      </c>
      <c r="T99" s="1" t="s">
        <v>31</v>
      </c>
      <c r="U99" s="1" t="s">
        <v>31</v>
      </c>
      <c r="V99" s="5"/>
      <c r="W99" s="5"/>
      <c r="X99" s="5"/>
      <c r="Y99" s="5"/>
      <c r="Z99" s="5"/>
    </row>
    <row r="100" ht="14.25" hidden="1" customHeight="1">
      <c r="A100" s="1" t="s">
        <v>31</v>
      </c>
      <c r="B100" s="1">
        <v>1.1000926E7</v>
      </c>
      <c r="C100" s="1" t="str">
        <f>VLOOKUP(B100,Equipment!A$1:J$470,9,0)</f>
        <v>E</v>
      </c>
      <c r="D100" s="1" t="s">
        <v>2016</v>
      </c>
      <c r="E100" s="1">
        <v>1201.0</v>
      </c>
      <c r="F100" s="1" t="s">
        <v>1459</v>
      </c>
      <c r="G100" s="1" t="s">
        <v>1015</v>
      </c>
      <c r="H100" s="1" t="s">
        <v>31</v>
      </c>
      <c r="I100" s="1" t="s">
        <v>1401</v>
      </c>
      <c r="J100" s="1" t="s">
        <v>1401</v>
      </c>
      <c r="K100" s="1" t="s">
        <v>31</v>
      </c>
      <c r="L100" s="1" t="s">
        <v>1460</v>
      </c>
      <c r="M100" s="1" t="s">
        <v>51</v>
      </c>
      <c r="N100" s="1" t="s">
        <v>737</v>
      </c>
      <c r="O100" s="1" t="s">
        <v>31</v>
      </c>
      <c r="P100" s="1" t="s">
        <v>1188</v>
      </c>
      <c r="Q100" s="1" t="s">
        <v>948</v>
      </c>
      <c r="R100" s="1" t="s">
        <v>1461</v>
      </c>
      <c r="S100" s="1" t="s">
        <v>1462</v>
      </c>
      <c r="T100" s="1" t="s">
        <v>31</v>
      </c>
      <c r="U100" s="1" t="s">
        <v>31</v>
      </c>
      <c r="V100" s="5"/>
      <c r="W100" s="5"/>
      <c r="X100" s="5"/>
      <c r="Y100" s="5"/>
      <c r="Z100" s="5"/>
    </row>
    <row r="101" ht="14.25" hidden="1" customHeight="1">
      <c r="A101" s="1" t="s">
        <v>31</v>
      </c>
      <c r="B101" s="1">
        <v>1.1000928E7</v>
      </c>
      <c r="C101" s="1" t="str">
        <f>VLOOKUP(B101,Equipment!A$1:J$470,9,0)</f>
        <v>E</v>
      </c>
      <c r="D101" s="1" t="s">
        <v>2025</v>
      </c>
      <c r="E101" s="1">
        <v>1201.0</v>
      </c>
      <c r="F101" s="1" t="s">
        <v>1459</v>
      </c>
      <c r="G101" s="1" t="s">
        <v>1015</v>
      </c>
      <c r="H101" s="1" t="s">
        <v>31</v>
      </c>
      <c r="I101" s="1" t="s">
        <v>1401</v>
      </c>
      <c r="J101" s="1" t="s">
        <v>1401</v>
      </c>
      <c r="K101" s="1" t="s">
        <v>31</v>
      </c>
      <c r="L101" s="1" t="s">
        <v>1460</v>
      </c>
      <c r="M101" s="1" t="s">
        <v>51</v>
      </c>
      <c r="N101" s="1" t="s">
        <v>737</v>
      </c>
      <c r="O101" s="1" t="s">
        <v>31</v>
      </c>
      <c r="P101" s="1" t="s">
        <v>1188</v>
      </c>
      <c r="Q101" s="1" t="s">
        <v>948</v>
      </c>
      <c r="R101" s="1" t="s">
        <v>1461</v>
      </c>
      <c r="S101" s="1" t="s">
        <v>1462</v>
      </c>
      <c r="T101" s="1" t="s">
        <v>31</v>
      </c>
      <c r="U101" s="1" t="s">
        <v>31</v>
      </c>
      <c r="V101" s="5"/>
      <c r="W101" s="5"/>
      <c r="X101" s="5"/>
      <c r="Y101" s="5"/>
      <c r="Z101" s="5"/>
    </row>
    <row r="102" ht="14.25" hidden="1" customHeight="1">
      <c r="A102" s="1" t="s">
        <v>31</v>
      </c>
      <c r="B102" s="1">
        <v>1.100093E7</v>
      </c>
      <c r="C102" s="1" t="str">
        <f>VLOOKUP(B102,Equipment!A$1:J$470,9,0)</f>
        <v>E</v>
      </c>
      <c r="D102" s="1" t="s">
        <v>2029</v>
      </c>
      <c r="E102" s="1">
        <v>1201.0</v>
      </c>
      <c r="F102" s="1" t="s">
        <v>1459</v>
      </c>
      <c r="G102" s="1" t="s">
        <v>1015</v>
      </c>
      <c r="H102" s="1" t="s">
        <v>31</v>
      </c>
      <c r="I102" s="1" t="s">
        <v>1401</v>
      </c>
      <c r="J102" s="1" t="s">
        <v>1401</v>
      </c>
      <c r="K102" s="1" t="s">
        <v>31</v>
      </c>
      <c r="L102" s="1" t="s">
        <v>1460</v>
      </c>
      <c r="M102" s="1" t="s">
        <v>51</v>
      </c>
      <c r="N102" s="1" t="s">
        <v>737</v>
      </c>
      <c r="O102" s="1" t="s">
        <v>31</v>
      </c>
      <c r="P102" s="1" t="s">
        <v>1188</v>
      </c>
      <c r="Q102" s="1" t="s">
        <v>948</v>
      </c>
      <c r="R102" s="1" t="s">
        <v>1461</v>
      </c>
      <c r="S102" s="1" t="s">
        <v>1462</v>
      </c>
      <c r="T102" s="1" t="s">
        <v>31</v>
      </c>
      <c r="U102" s="1" t="s">
        <v>31</v>
      </c>
      <c r="V102" s="5"/>
      <c r="W102" s="5"/>
      <c r="X102" s="5"/>
      <c r="Y102" s="5"/>
      <c r="Z102" s="5"/>
    </row>
    <row r="103" ht="14.25" hidden="1" customHeight="1">
      <c r="A103" s="1" t="s">
        <v>31</v>
      </c>
      <c r="B103" s="1">
        <v>1.1000938E7</v>
      </c>
      <c r="C103" s="1" t="str">
        <f>VLOOKUP(B103,Equipment!A$1:J$470,9,0)</f>
        <v>E</v>
      </c>
      <c r="D103" s="1" t="s">
        <v>2037</v>
      </c>
      <c r="E103" s="1">
        <v>1201.0</v>
      </c>
      <c r="F103" s="1" t="s">
        <v>1459</v>
      </c>
      <c r="G103" s="1" t="s">
        <v>1015</v>
      </c>
      <c r="H103" s="1" t="s">
        <v>31</v>
      </c>
      <c r="I103" s="1" t="s">
        <v>1401</v>
      </c>
      <c r="J103" s="1" t="s">
        <v>1401</v>
      </c>
      <c r="K103" s="1" t="s">
        <v>31</v>
      </c>
      <c r="L103" s="1" t="s">
        <v>1460</v>
      </c>
      <c r="M103" s="1" t="s">
        <v>51</v>
      </c>
      <c r="N103" s="1" t="s">
        <v>737</v>
      </c>
      <c r="O103" s="1" t="s">
        <v>31</v>
      </c>
      <c r="P103" s="1" t="s">
        <v>1188</v>
      </c>
      <c r="Q103" s="1" t="s">
        <v>948</v>
      </c>
      <c r="R103" s="1" t="s">
        <v>1461</v>
      </c>
      <c r="S103" s="1" t="s">
        <v>1462</v>
      </c>
      <c r="T103" s="1" t="s">
        <v>31</v>
      </c>
      <c r="U103" s="1" t="s">
        <v>31</v>
      </c>
      <c r="V103" s="5"/>
      <c r="W103" s="5"/>
      <c r="X103" s="5"/>
      <c r="Y103" s="5"/>
      <c r="Z103" s="5"/>
    </row>
    <row r="104" ht="14.25" hidden="1" customHeight="1">
      <c r="A104" s="1" t="s">
        <v>31</v>
      </c>
      <c r="B104" s="1">
        <v>1.1000939E7</v>
      </c>
      <c r="C104" s="1" t="str">
        <f>VLOOKUP(B104,Equipment!A$1:J$470,9,0)</f>
        <v>E</v>
      </c>
      <c r="D104" s="1" t="s">
        <v>2042</v>
      </c>
      <c r="E104" s="1">
        <v>1201.0</v>
      </c>
      <c r="F104" s="1" t="s">
        <v>1459</v>
      </c>
      <c r="G104" s="1" t="s">
        <v>1015</v>
      </c>
      <c r="H104" s="1" t="s">
        <v>31</v>
      </c>
      <c r="I104" s="1" t="s">
        <v>1401</v>
      </c>
      <c r="J104" s="1" t="s">
        <v>1401</v>
      </c>
      <c r="K104" s="1" t="s">
        <v>31</v>
      </c>
      <c r="L104" s="1" t="s">
        <v>1460</v>
      </c>
      <c r="M104" s="1" t="s">
        <v>51</v>
      </c>
      <c r="N104" s="1" t="s">
        <v>737</v>
      </c>
      <c r="O104" s="1" t="s">
        <v>31</v>
      </c>
      <c r="P104" s="1" t="s">
        <v>1188</v>
      </c>
      <c r="Q104" s="1" t="s">
        <v>948</v>
      </c>
      <c r="R104" s="1" t="s">
        <v>1461</v>
      </c>
      <c r="S104" s="1" t="s">
        <v>1462</v>
      </c>
      <c r="T104" s="1" t="s">
        <v>31</v>
      </c>
      <c r="U104" s="1" t="s">
        <v>31</v>
      </c>
      <c r="V104" s="5"/>
      <c r="W104" s="5"/>
      <c r="X104" s="5"/>
      <c r="Y104" s="5"/>
      <c r="Z104" s="5"/>
    </row>
    <row r="105" ht="14.25" hidden="1" customHeight="1">
      <c r="A105" s="1" t="s">
        <v>31</v>
      </c>
      <c r="B105" s="1">
        <v>1.1000941E7</v>
      </c>
      <c r="C105" s="1" t="str">
        <f>VLOOKUP(B105,Equipment!A$1:J$470,9,0)</f>
        <v>E</v>
      </c>
      <c r="D105" s="1" t="s">
        <v>2050</v>
      </c>
      <c r="E105" s="1">
        <v>1201.0</v>
      </c>
      <c r="F105" s="1" t="s">
        <v>1459</v>
      </c>
      <c r="G105" s="1" t="s">
        <v>1015</v>
      </c>
      <c r="H105" s="1" t="s">
        <v>31</v>
      </c>
      <c r="I105" s="1" t="s">
        <v>1401</v>
      </c>
      <c r="J105" s="1" t="s">
        <v>1401</v>
      </c>
      <c r="K105" s="1" t="s">
        <v>31</v>
      </c>
      <c r="L105" s="1" t="s">
        <v>1460</v>
      </c>
      <c r="M105" s="1" t="s">
        <v>51</v>
      </c>
      <c r="N105" s="1" t="s">
        <v>737</v>
      </c>
      <c r="O105" s="1" t="s">
        <v>31</v>
      </c>
      <c r="P105" s="1" t="s">
        <v>1188</v>
      </c>
      <c r="Q105" s="1" t="s">
        <v>948</v>
      </c>
      <c r="R105" s="1" t="s">
        <v>1461</v>
      </c>
      <c r="S105" s="1" t="s">
        <v>1462</v>
      </c>
      <c r="T105" s="1" t="s">
        <v>31</v>
      </c>
      <c r="U105" s="1" t="s">
        <v>31</v>
      </c>
      <c r="V105" s="5"/>
      <c r="W105" s="5"/>
      <c r="X105" s="5"/>
      <c r="Y105" s="5"/>
      <c r="Z105" s="5"/>
    </row>
    <row r="106" ht="14.25" hidden="1" customHeight="1">
      <c r="A106" s="1" t="s">
        <v>31</v>
      </c>
      <c r="B106" s="1">
        <v>1.1000948E7</v>
      </c>
      <c r="C106" s="1" t="str">
        <f>VLOOKUP(B106,Equipment!A$1:J$470,9,0)</f>
        <v>E</v>
      </c>
      <c r="D106" s="1" t="s">
        <v>2060</v>
      </c>
      <c r="E106" s="1">
        <v>1201.0</v>
      </c>
      <c r="F106" s="1" t="s">
        <v>1459</v>
      </c>
      <c r="G106" s="1" t="s">
        <v>1015</v>
      </c>
      <c r="H106" s="1" t="s">
        <v>31</v>
      </c>
      <c r="I106" s="1" t="s">
        <v>1401</v>
      </c>
      <c r="J106" s="1" t="s">
        <v>1401</v>
      </c>
      <c r="K106" s="1" t="s">
        <v>31</v>
      </c>
      <c r="L106" s="1" t="s">
        <v>1460</v>
      </c>
      <c r="M106" s="1" t="s">
        <v>51</v>
      </c>
      <c r="N106" s="1" t="s">
        <v>737</v>
      </c>
      <c r="O106" s="1" t="s">
        <v>31</v>
      </c>
      <c r="P106" s="1" t="s">
        <v>1188</v>
      </c>
      <c r="Q106" s="1" t="s">
        <v>948</v>
      </c>
      <c r="R106" s="1" t="s">
        <v>1461</v>
      </c>
      <c r="S106" s="1" t="s">
        <v>1462</v>
      </c>
      <c r="T106" s="1" t="s">
        <v>31</v>
      </c>
      <c r="U106" s="1" t="s">
        <v>31</v>
      </c>
      <c r="V106" s="5"/>
      <c r="W106" s="5"/>
      <c r="X106" s="5"/>
      <c r="Y106" s="5"/>
      <c r="Z106" s="5"/>
    </row>
    <row r="107" ht="14.25" hidden="1" customHeight="1">
      <c r="A107" s="1" t="s">
        <v>31</v>
      </c>
      <c r="B107" s="1">
        <v>1.1000967E7</v>
      </c>
      <c r="C107" s="1" t="str">
        <f>VLOOKUP(B107,Equipment!A$1:J$470,9,0)</f>
        <v>E</v>
      </c>
      <c r="D107" s="1" t="s">
        <v>2056</v>
      </c>
      <c r="E107" s="1">
        <v>1201.0</v>
      </c>
      <c r="F107" s="1" t="s">
        <v>1459</v>
      </c>
      <c r="G107" s="1" t="s">
        <v>1015</v>
      </c>
      <c r="H107" s="1" t="s">
        <v>31</v>
      </c>
      <c r="I107" s="1" t="s">
        <v>1401</v>
      </c>
      <c r="J107" s="1" t="s">
        <v>1401</v>
      </c>
      <c r="K107" s="1" t="s">
        <v>31</v>
      </c>
      <c r="L107" s="1" t="s">
        <v>1460</v>
      </c>
      <c r="M107" s="1" t="s">
        <v>51</v>
      </c>
      <c r="N107" s="1" t="s">
        <v>737</v>
      </c>
      <c r="O107" s="1" t="s">
        <v>31</v>
      </c>
      <c r="P107" s="1" t="s">
        <v>1188</v>
      </c>
      <c r="Q107" s="1" t="s">
        <v>948</v>
      </c>
      <c r="R107" s="1" t="s">
        <v>1461</v>
      </c>
      <c r="S107" s="1" t="s">
        <v>1462</v>
      </c>
      <c r="T107" s="1" t="s">
        <v>31</v>
      </c>
      <c r="U107" s="1" t="s">
        <v>31</v>
      </c>
      <c r="V107" s="5"/>
      <c r="W107" s="5"/>
      <c r="X107" s="5"/>
      <c r="Y107" s="5"/>
      <c r="Z107" s="5"/>
    </row>
    <row r="108" ht="14.25" hidden="1" customHeight="1">
      <c r="A108" s="1" t="s">
        <v>31</v>
      </c>
      <c r="B108" s="1">
        <v>1.1000971E7</v>
      </c>
      <c r="C108" s="1" t="str">
        <f>VLOOKUP(B108,Equipment!A$1:J$470,9,0)</f>
        <v>E</v>
      </c>
      <c r="D108" s="1" t="s">
        <v>1795</v>
      </c>
      <c r="E108" s="1">
        <v>1201.0</v>
      </c>
      <c r="F108" s="1" t="s">
        <v>1459</v>
      </c>
      <c r="G108" s="1" t="s">
        <v>1015</v>
      </c>
      <c r="H108" s="1" t="s">
        <v>31</v>
      </c>
      <c r="I108" s="1" t="s">
        <v>1401</v>
      </c>
      <c r="J108" s="1" t="s">
        <v>1401</v>
      </c>
      <c r="K108" s="1" t="s">
        <v>31</v>
      </c>
      <c r="L108" s="1" t="s">
        <v>1460</v>
      </c>
      <c r="M108" s="1" t="s">
        <v>51</v>
      </c>
      <c r="N108" s="1" t="s">
        <v>737</v>
      </c>
      <c r="O108" s="1" t="s">
        <v>31</v>
      </c>
      <c r="P108" s="1" t="s">
        <v>1188</v>
      </c>
      <c r="Q108" s="1" t="s">
        <v>948</v>
      </c>
      <c r="R108" s="1" t="s">
        <v>1461</v>
      </c>
      <c r="S108" s="1" t="s">
        <v>1462</v>
      </c>
      <c r="T108" s="1" t="s">
        <v>31</v>
      </c>
      <c r="U108" s="1" t="s">
        <v>31</v>
      </c>
      <c r="V108" s="5"/>
      <c r="W108" s="5"/>
      <c r="X108" s="5"/>
      <c r="Y108" s="5"/>
      <c r="Z108" s="5"/>
    </row>
    <row r="109" ht="14.25" hidden="1" customHeight="1">
      <c r="A109" s="1" t="s">
        <v>31</v>
      </c>
      <c r="B109" s="1">
        <v>1.1000972E7</v>
      </c>
      <c r="C109" s="1" t="str">
        <f>VLOOKUP(B109,Equipment!A$1:J$470,9,0)</f>
        <v>E</v>
      </c>
      <c r="D109" s="1" t="s">
        <v>2079</v>
      </c>
      <c r="E109" s="1">
        <v>1201.0</v>
      </c>
      <c r="F109" s="1" t="s">
        <v>1459</v>
      </c>
      <c r="G109" s="1" t="s">
        <v>1015</v>
      </c>
      <c r="H109" s="1" t="s">
        <v>31</v>
      </c>
      <c r="I109" s="1" t="s">
        <v>1401</v>
      </c>
      <c r="J109" s="1" t="s">
        <v>1401</v>
      </c>
      <c r="K109" s="1" t="s">
        <v>31</v>
      </c>
      <c r="L109" s="1" t="s">
        <v>1460</v>
      </c>
      <c r="M109" s="1" t="s">
        <v>51</v>
      </c>
      <c r="N109" s="1" t="s">
        <v>737</v>
      </c>
      <c r="O109" s="1" t="s">
        <v>31</v>
      </c>
      <c r="P109" s="1" t="s">
        <v>1188</v>
      </c>
      <c r="Q109" s="1" t="s">
        <v>948</v>
      </c>
      <c r="R109" s="1" t="s">
        <v>1461</v>
      </c>
      <c r="S109" s="1" t="s">
        <v>1462</v>
      </c>
      <c r="T109" s="1" t="s">
        <v>31</v>
      </c>
      <c r="U109" s="1" t="s">
        <v>31</v>
      </c>
      <c r="V109" s="5"/>
      <c r="W109" s="5"/>
      <c r="X109" s="5"/>
      <c r="Y109" s="5"/>
      <c r="Z109" s="5"/>
    </row>
    <row r="110" ht="14.25" hidden="1" customHeight="1">
      <c r="A110" s="1" t="s">
        <v>31</v>
      </c>
      <c r="B110" s="1">
        <v>1.1000973E7</v>
      </c>
      <c r="C110" s="1" t="str">
        <f>VLOOKUP(B110,Equipment!A$1:J$470,9,0)</f>
        <v>E</v>
      </c>
      <c r="D110" s="1" t="s">
        <v>2087</v>
      </c>
      <c r="E110" s="1">
        <v>1201.0</v>
      </c>
      <c r="F110" s="1" t="s">
        <v>1459</v>
      </c>
      <c r="G110" s="1" t="s">
        <v>1015</v>
      </c>
      <c r="H110" s="1" t="s">
        <v>31</v>
      </c>
      <c r="I110" s="1" t="s">
        <v>1401</v>
      </c>
      <c r="J110" s="1" t="s">
        <v>1401</v>
      </c>
      <c r="K110" s="1" t="s">
        <v>31</v>
      </c>
      <c r="L110" s="1" t="s">
        <v>1460</v>
      </c>
      <c r="M110" s="1" t="s">
        <v>51</v>
      </c>
      <c r="N110" s="1" t="s">
        <v>737</v>
      </c>
      <c r="O110" s="1" t="s">
        <v>31</v>
      </c>
      <c r="P110" s="1" t="s">
        <v>1188</v>
      </c>
      <c r="Q110" s="1" t="s">
        <v>948</v>
      </c>
      <c r="R110" s="1" t="s">
        <v>1461</v>
      </c>
      <c r="S110" s="1" t="s">
        <v>1462</v>
      </c>
      <c r="T110" s="1" t="s">
        <v>31</v>
      </c>
      <c r="U110" s="1" t="s">
        <v>31</v>
      </c>
      <c r="V110" s="5"/>
      <c r="W110" s="5"/>
      <c r="X110" s="5"/>
      <c r="Y110" s="5"/>
      <c r="Z110" s="5"/>
    </row>
    <row r="111" ht="14.25" hidden="1" customHeight="1">
      <c r="A111" s="1" t="s">
        <v>31</v>
      </c>
      <c r="B111" s="1">
        <v>1.1000974E7</v>
      </c>
      <c r="C111" s="1" t="str">
        <f>VLOOKUP(B111,Equipment!A$1:J$470,9,0)</f>
        <v>E</v>
      </c>
      <c r="D111" s="1" t="s">
        <v>2094</v>
      </c>
      <c r="E111" s="1">
        <v>1201.0</v>
      </c>
      <c r="F111" s="1" t="s">
        <v>1459</v>
      </c>
      <c r="G111" s="1" t="s">
        <v>1015</v>
      </c>
      <c r="H111" s="1" t="s">
        <v>31</v>
      </c>
      <c r="I111" s="1" t="s">
        <v>1401</v>
      </c>
      <c r="J111" s="1" t="s">
        <v>1401</v>
      </c>
      <c r="K111" s="1" t="s">
        <v>31</v>
      </c>
      <c r="L111" s="1" t="s">
        <v>1460</v>
      </c>
      <c r="M111" s="1" t="s">
        <v>51</v>
      </c>
      <c r="N111" s="1" t="s">
        <v>737</v>
      </c>
      <c r="O111" s="1" t="s">
        <v>31</v>
      </c>
      <c r="P111" s="1" t="s">
        <v>1188</v>
      </c>
      <c r="Q111" s="1" t="s">
        <v>948</v>
      </c>
      <c r="R111" s="1" t="s">
        <v>1461</v>
      </c>
      <c r="S111" s="1" t="s">
        <v>1462</v>
      </c>
      <c r="T111" s="1" t="s">
        <v>31</v>
      </c>
      <c r="U111" s="1" t="s">
        <v>31</v>
      </c>
      <c r="V111" s="5"/>
      <c r="W111" s="5"/>
      <c r="X111" s="5"/>
      <c r="Y111" s="5"/>
      <c r="Z111" s="5"/>
    </row>
    <row r="112" ht="14.25" hidden="1" customHeight="1">
      <c r="A112" s="1" t="s">
        <v>31</v>
      </c>
      <c r="B112" s="1">
        <v>1.1000975E7</v>
      </c>
      <c r="C112" s="1" t="str">
        <f>VLOOKUP(B112,Equipment!A$1:J$470,9,0)</f>
        <v>E</v>
      </c>
      <c r="D112" s="1" t="s">
        <v>2094</v>
      </c>
      <c r="E112" s="1">
        <v>1201.0</v>
      </c>
      <c r="F112" s="1" t="s">
        <v>1459</v>
      </c>
      <c r="G112" s="1" t="s">
        <v>1015</v>
      </c>
      <c r="H112" s="1" t="s">
        <v>31</v>
      </c>
      <c r="I112" s="1" t="s">
        <v>1401</v>
      </c>
      <c r="J112" s="1" t="s">
        <v>1401</v>
      </c>
      <c r="K112" s="1" t="s">
        <v>31</v>
      </c>
      <c r="L112" s="1" t="s">
        <v>1460</v>
      </c>
      <c r="M112" s="1" t="s">
        <v>51</v>
      </c>
      <c r="N112" s="1" t="s">
        <v>737</v>
      </c>
      <c r="O112" s="1" t="s">
        <v>31</v>
      </c>
      <c r="P112" s="1" t="s">
        <v>1188</v>
      </c>
      <c r="Q112" s="1" t="s">
        <v>948</v>
      </c>
      <c r="R112" s="1" t="s">
        <v>1461</v>
      </c>
      <c r="S112" s="1" t="s">
        <v>1462</v>
      </c>
      <c r="T112" s="1" t="s">
        <v>31</v>
      </c>
      <c r="U112" s="1" t="s">
        <v>31</v>
      </c>
      <c r="V112" s="5"/>
      <c r="W112" s="5"/>
      <c r="X112" s="5"/>
      <c r="Y112" s="5"/>
      <c r="Z112" s="5"/>
    </row>
    <row r="113" ht="14.25" hidden="1" customHeight="1">
      <c r="A113" s="1" t="s">
        <v>2104</v>
      </c>
      <c r="B113" s="1">
        <v>1.1001236E7</v>
      </c>
      <c r="C113" s="1" t="str">
        <f>VLOOKUP(B113,Equipment!A$1:J$470,9,0)</f>
        <v>E</v>
      </c>
      <c r="D113" s="1" t="s">
        <v>2106</v>
      </c>
      <c r="E113" s="1">
        <v>2001.0</v>
      </c>
      <c r="F113" s="1" t="s">
        <v>785</v>
      </c>
      <c r="G113" s="1" t="s">
        <v>491</v>
      </c>
      <c r="H113" s="1" t="s">
        <v>768</v>
      </c>
      <c r="I113" s="1" t="s">
        <v>1401</v>
      </c>
      <c r="J113" s="1" t="s">
        <v>1401</v>
      </c>
      <c r="K113" s="1" t="s">
        <v>1401</v>
      </c>
      <c r="L113" s="1" t="s">
        <v>2109</v>
      </c>
      <c r="M113" s="1" t="s">
        <v>51</v>
      </c>
      <c r="N113" s="1" t="s">
        <v>737</v>
      </c>
      <c r="O113" s="1" t="s">
        <v>31</v>
      </c>
      <c r="P113" s="1" t="s">
        <v>2112</v>
      </c>
      <c r="Q113" s="1" t="s">
        <v>777</v>
      </c>
      <c r="R113" s="1" t="s">
        <v>491</v>
      </c>
      <c r="S113" s="1" t="s">
        <v>779</v>
      </c>
      <c r="T113" s="1" t="s">
        <v>2114</v>
      </c>
      <c r="U113" s="1" t="s">
        <v>31</v>
      </c>
      <c r="V113" s="5"/>
      <c r="W113" s="5"/>
      <c r="X113" s="5"/>
      <c r="Y113" s="5"/>
      <c r="Z113" s="5"/>
    </row>
    <row r="114" ht="14.25" hidden="1" customHeight="1">
      <c r="A114" s="1" t="s">
        <v>2116</v>
      </c>
      <c r="B114" s="1">
        <v>1.100137E7</v>
      </c>
      <c r="C114" s="1" t="str">
        <f>VLOOKUP(B114,Equipment!A$1:J$470,9,0)</f>
        <v>E</v>
      </c>
      <c r="D114" s="1" t="s">
        <v>2119</v>
      </c>
      <c r="E114" s="1">
        <v>1002.0</v>
      </c>
      <c r="F114" s="1" t="s">
        <v>2120</v>
      </c>
      <c r="G114" s="1" t="s">
        <v>131</v>
      </c>
      <c r="H114" s="1" t="s">
        <v>768</v>
      </c>
      <c r="I114" s="1" t="s">
        <v>1401</v>
      </c>
      <c r="J114" s="1" t="s">
        <v>1401</v>
      </c>
      <c r="K114" s="1" t="s">
        <v>1401</v>
      </c>
      <c r="L114" s="1" t="s">
        <v>2121</v>
      </c>
      <c r="M114" s="1" t="s">
        <v>51</v>
      </c>
      <c r="N114" s="1" t="s">
        <v>737</v>
      </c>
      <c r="O114" s="1" t="s">
        <v>31</v>
      </c>
      <c r="P114" s="1" t="s">
        <v>859</v>
      </c>
      <c r="Q114" s="1" t="s">
        <v>948</v>
      </c>
      <c r="R114" s="1" t="s">
        <v>1638</v>
      </c>
      <c r="S114" s="1" t="s">
        <v>1000</v>
      </c>
      <c r="T114" s="1" t="s">
        <v>1018</v>
      </c>
      <c r="U114" s="1" t="s">
        <v>31</v>
      </c>
      <c r="V114" s="5"/>
      <c r="W114" s="5"/>
      <c r="X114" s="5"/>
      <c r="Y114" s="5"/>
      <c r="Z114" s="5"/>
    </row>
    <row r="115" ht="14.25" hidden="1" customHeight="1">
      <c r="A115" s="1" t="s">
        <v>2122</v>
      </c>
      <c r="B115" s="1">
        <v>2.1000997E7</v>
      </c>
      <c r="C115" s="1" t="str">
        <f>VLOOKUP(B115,Equipment!A$1:J$470,9,0)</f>
        <v>#N/A</v>
      </c>
      <c r="D115" s="1" t="s">
        <v>2126</v>
      </c>
      <c r="E115" s="1">
        <v>1004.0</v>
      </c>
      <c r="F115" s="1" t="s">
        <v>2127</v>
      </c>
      <c r="G115" s="1" t="s">
        <v>1361</v>
      </c>
      <c r="H115" s="1" t="s">
        <v>768</v>
      </c>
      <c r="I115" s="1" t="s">
        <v>1401</v>
      </c>
      <c r="J115" s="1" t="s">
        <v>1401</v>
      </c>
      <c r="K115" s="1" t="s">
        <v>1401</v>
      </c>
      <c r="L115" s="1" t="s">
        <v>1213</v>
      </c>
      <c r="M115" s="1" t="s">
        <v>51</v>
      </c>
      <c r="N115" s="1" t="s">
        <v>737</v>
      </c>
      <c r="O115" s="1" t="s">
        <v>31</v>
      </c>
      <c r="P115" s="1" t="s">
        <v>1215</v>
      </c>
      <c r="Q115" s="1" t="s">
        <v>948</v>
      </c>
      <c r="R115" s="1" t="s">
        <v>1361</v>
      </c>
      <c r="S115" s="1" t="s">
        <v>1220</v>
      </c>
      <c r="T115" s="1" t="s">
        <v>1222</v>
      </c>
      <c r="U115" s="1" t="s">
        <v>31</v>
      </c>
      <c r="V115" s="5"/>
      <c r="W115" s="5"/>
      <c r="X115" s="5"/>
      <c r="Y115" s="5"/>
      <c r="Z115" s="5"/>
    </row>
    <row r="116" ht="14.25" hidden="1" customHeight="1">
      <c r="A116" s="1" t="s">
        <v>2128</v>
      </c>
      <c r="B116" s="1">
        <v>2.1000998E7</v>
      </c>
      <c r="C116" s="1" t="str">
        <f>VLOOKUP(B116,Equipment!A$1:J$470,9,0)</f>
        <v>#N/A</v>
      </c>
      <c r="D116" s="1" t="s">
        <v>2131</v>
      </c>
      <c r="E116" s="1">
        <v>1004.0</v>
      </c>
      <c r="F116" s="1" t="s">
        <v>2132</v>
      </c>
      <c r="G116" s="1" t="s">
        <v>1361</v>
      </c>
      <c r="H116" s="1" t="s">
        <v>768</v>
      </c>
      <c r="I116" s="1" t="s">
        <v>1401</v>
      </c>
      <c r="J116" s="1" t="s">
        <v>1401</v>
      </c>
      <c r="K116" s="1" t="s">
        <v>1401</v>
      </c>
      <c r="L116" s="1" t="s">
        <v>1213</v>
      </c>
      <c r="M116" s="1" t="s">
        <v>51</v>
      </c>
      <c r="N116" s="1" t="s">
        <v>737</v>
      </c>
      <c r="O116" s="1" t="s">
        <v>31</v>
      </c>
      <c r="P116" s="1" t="s">
        <v>1215</v>
      </c>
      <c r="Q116" s="1" t="s">
        <v>948</v>
      </c>
      <c r="R116" s="1" t="s">
        <v>1361</v>
      </c>
      <c r="S116" s="1" t="s">
        <v>1220</v>
      </c>
      <c r="T116" s="1" t="s">
        <v>1222</v>
      </c>
      <c r="U116" s="1" t="s">
        <v>31</v>
      </c>
      <c r="V116" s="5"/>
      <c r="W116" s="5"/>
      <c r="X116" s="5"/>
      <c r="Y116" s="5"/>
      <c r="Z116" s="5"/>
    </row>
    <row r="117" ht="14.25" hidden="1" customHeight="1">
      <c r="A117" s="1" t="s">
        <v>2135</v>
      </c>
      <c r="B117" s="1">
        <v>2.1000999E7</v>
      </c>
      <c r="C117" s="1" t="str">
        <f>VLOOKUP(B117,Equipment!A$1:J$470,9,0)</f>
        <v>#N/A</v>
      </c>
      <c r="D117" s="1" t="s">
        <v>2140</v>
      </c>
      <c r="E117" s="1">
        <v>1004.0</v>
      </c>
      <c r="F117" s="1" t="s">
        <v>2144</v>
      </c>
      <c r="G117" s="1" t="s">
        <v>1361</v>
      </c>
      <c r="H117" s="1" t="s">
        <v>768</v>
      </c>
      <c r="I117" s="1" t="s">
        <v>1401</v>
      </c>
      <c r="J117" s="1" t="s">
        <v>1401</v>
      </c>
      <c r="K117" s="1" t="s">
        <v>1401</v>
      </c>
      <c r="L117" s="1" t="s">
        <v>1213</v>
      </c>
      <c r="M117" s="1" t="s">
        <v>51</v>
      </c>
      <c r="N117" s="1" t="s">
        <v>737</v>
      </c>
      <c r="O117" s="1" t="s">
        <v>31</v>
      </c>
      <c r="P117" s="1" t="s">
        <v>1215</v>
      </c>
      <c r="Q117" s="1" t="s">
        <v>948</v>
      </c>
      <c r="R117" s="1" t="s">
        <v>1361</v>
      </c>
      <c r="S117" s="1" t="s">
        <v>1220</v>
      </c>
      <c r="T117" s="1" t="s">
        <v>1222</v>
      </c>
      <c r="U117" s="1" t="s">
        <v>31</v>
      </c>
      <c r="V117" s="5"/>
      <c r="W117" s="5"/>
      <c r="X117" s="5"/>
      <c r="Y117" s="5"/>
      <c r="Z117" s="5"/>
    </row>
    <row r="118" ht="14.25" hidden="1" customHeight="1">
      <c r="A118" s="1" t="s">
        <v>2145</v>
      </c>
      <c r="B118" s="1">
        <v>2.1001064E7</v>
      </c>
      <c r="C118" s="1" t="str">
        <f>VLOOKUP(B118,Equipment!A$1:J$470,9,0)</f>
        <v>#N/A</v>
      </c>
      <c r="D118" s="1" t="s">
        <v>2149</v>
      </c>
      <c r="E118" s="1">
        <v>1031.0</v>
      </c>
      <c r="F118" s="1" t="s">
        <v>2150</v>
      </c>
      <c r="G118" s="1" t="s">
        <v>1082</v>
      </c>
      <c r="H118" s="1" t="s">
        <v>31</v>
      </c>
      <c r="I118" s="1" t="s">
        <v>1401</v>
      </c>
      <c r="J118" s="1" t="s">
        <v>1401</v>
      </c>
      <c r="K118" s="1" t="s">
        <v>31</v>
      </c>
      <c r="L118" s="1" t="s">
        <v>981</v>
      </c>
      <c r="M118" s="1" t="s">
        <v>51</v>
      </c>
      <c r="N118" s="1" t="s">
        <v>737</v>
      </c>
      <c r="O118" s="1" t="s">
        <v>31</v>
      </c>
      <c r="P118" s="1" t="s">
        <v>2151</v>
      </c>
      <c r="Q118" s="1" t="s">
        <v>948</v>
      </c>
      <c r="R118" s="1" t="s">
        <v>2152</v>
      </c>
      <c r="S118" s="1" t="s">
        <v>983</v>
      </c>
      <c r="T118" s="1" t="s">
        <v>1089</v>
      </c>
      <c r="U118" s="1" t="s">
        <v>31</v>
      </c>
      <c r="V118" s="5"/>
      <c r="W118" s="5"/>
      <c r="X118" s="5"/>
      <c r="Y118" s="5"/>
      <c r="Z118" s="5"/>
    </row>
    <row r="119" ht="14.25" hidden="1" customHeight="1">
      <c r="A119" s="1" t="s">
        <v>2156</v>
      </c>
      <c r="B119" s="1">
        <v>2.1001091E7</v>
      </c>
      <c r="C119" s="1" t="str">
        <f>VLOOKUP(B119,Equipment!A$1:J$470,9,0)</f>
        <v>#N/A</v>
      </c>
      <c r="D119" s="1" t="s">
        <v>2161</v>
      </c>
      <c r="E119" s="1">
        <v>1002.0</v>
      </c>
      <c r="F119" s="1" t="s">
        <v>2120</v>
      </c>
      <c r="G119" s="1" t="s">
        <v>1082</v>
      </c>
      <c r="H119" s="1" t="s">
        <v>768</v>
      </c>
      <c r="I119" s="1" t="s">
        <v>1401</v>
      </c>
      <c r="J119" s="1" t="s">
        <v>1401</v>
      </c>
      <c r="K119" s="1" t="s">
        <v>1401</v>
      </c>
      <c r="L119" s="1" t="s">
        <v>2121</v>
      </c>
      <c r="M119" s="1" t="s">
        <v>51</v>
      </c>
      <c r="N119" s="1" t="s">
        <v>737</v>
      </c>
      <c r="O119" s="1" t="s">
        <v>31</v>
      </c>
      <c r="P119" s="1" t="s">
        <v>859</v>
      </c>
      <c r="Q119" s="1" t="s">
        <v>948</v>
      </c>
      <c r="R119" s="1" t="s">
        <v>2166</v>
      </c>
      <c r="S119" s="1" t="s">
        <v>1000</v>
      </c>
      <c r="T119" s="1" t="s">
        <v>1018</v>
      </c>
      <c r="U119" s="1" t="s">
        <v>31</v>
      </c>
      <c r="V119" s="5"/>
      <c r="W119" s="5"/>
      <c r="X119" s="5"/>
      <c r="Y119" s="5"/>
      <c r="Z119" s="5"/>
    </row>
    <row r="120" ht="14.25" hidden="1" customHeight="1">
      <c r="A120" s="1" t="s">
        <v>2167</v>
      </c>
      <c r="B120" s="1">
        <v>1.1000269E7</v>
      </c>
      <c r="C120" s="1" t="str">
        <f>VLOOKUP(B120,Equipment!A$1:J$470,9,0)</f>
        <v>E</v>
      </c>
      <c r="D120" s="1" t="s">
        <v>535</v>
      </c>
      <c r="E120" s="1">
        <v>2001.0</v>
      </c>
      <c r="F120" s="1" t="s">
        <v>785</v>
      </c>
      <c r="G120" s="1" t="s">
        <v>491</v>
      </c>
      <c r="H120" s="1" t="s">
        <v>768</v>
      </c>
      <c r="I120" s="1" t="s">
        <v>1608</v>
      </c>
      <c r="J120" s="1" t="s">
        <v>1608</v>
      </c>
      <c r="K120" s="1" t="s">
        <v>1608</v>
      </c>
      <c r="L120" s="1" t="s">
        <v>2176</v>
      </c>
      <c r="M120" s="1" t="s">
        <v>51</v>
      </c>
      <c r="N120" s="1" t="s">
        <v>737</v>
      </c>
      <c r="O120" s="1" t="s">
        <v>31</v>
      </c>
      <c r="P120" s="1" t="s">
        <v>789</v>
      </c>
      <c r="Q120" s="1" t="s">
        <v>777</v>
      </c>
      <c r="R120" s="1" t="s">
        <v>928</v>
      </c>
      <c r="S120" s="1" t="s">
        <v>779</v>
      </c>
      <c r="T120" s="1" t="s">
        <v>2178</v>
      </c>
      <c r="U120" s="1" t="s">
        <v>31</v>
      </c>
      <c r="V120" s="5"/>
      <c r="W120" s="5"/>
      <c r="X120" s="5"/>
      <c r="Y120" s="5"/>
      <c r="Z120" s="5"/>
    </row>
    <row r="121" ht="14.25" hidden="1" customHeight="1">
      <c r="A121" s="1" t="s">
        <v>2180</v>
      </c>
      <c r="B121" s="1">
        <v>1.1000288E7</v>
      </c>
      <c r="C121" s="1" t="str">
        <f>VLOOKUP(B121,Equipment!A$1:J$470,9,0)</f>
        <v>E</v>
      </c>
      <c r="D121" s="1" t="s">
        <v>569</v>
      </c>
      <c r="E121" s="1">
        <v>2001.0</v>
      </c>
      <c r="F121" s="1" t="s">
        <v>785</v>
      </c>
      <c r="G121" s="1" t="s">
        <v>491</v>
      </c>
      <c r="H121" s="1" t="s">
        <v>768</v>
      </c>
      <c r="I121" s="1" t="s">
        <v>1608</v>
      </c>
      <c r="J121" s="1" t="s">
        <v>1608</v>
      </c>
      <c r="K121" s="1" t="s">
        <v>1608</v>
      </c>
      <c r="L121" s="1" t="s">
        <v>2183</v>
      </c>
      <c r="M121" s="1" t="s">
        <v>51</v>
      </c>
      <c r="N121" s="1" t="s">
        <v>737</v>
      </c>
      <c r="O121" s="1" t="s">
        <v>31</v>
      </c>
      <c r="P121" s="1" t="s">
        <v>2184</v>
      </c>
      <c r="Q121" s="1" t="s">
        <v>777</v>
      </c>
      <c r="R121" s="1" t="s">
        <v>2186</v>
      </c>
      <c r="S121" s="1" t="s">
        <v>779</v>
      </c>
      <c r="T121" s="1" t="s">
        <v>2188</v>
      </c>
      <c r="U121" s="1" t="s">
        <v>31</v>
      </c>
      <c r="V121" s="5"/>
      <c r="W121" s="5"/>
      <c r="X121" s="5"/>
      <c r="Y121" s="5"/>
      <c r="Z121" s="5"/>
    </row>
    <row r="122" ht="14.25" hidden="1" customHeight="1">
      <c r="A122" s="1" t="s">
        <v>2190</v>
      </c>
      <c r="B122" s="1">
        <v>1.1000454E7</v>
      </c>
      <c r="C122" s="1" t="str">
        <f>VLOOKUP(B122,Equipment!A$1:J$470,9,0)</f>
        <v>E</v>
      </c>
      <c r="D122" s="1" t="s">
        <v>294</v>
      </c>
      <c r="E122" s="1">
        <v>1041.0</v>
      </c>
      <c r="F122" s="1" t="s">
        <v>2196</v>
      </c>
      <c r="G122" s="1" t="s">
        <v>68</v>
      </c>
      <c r="H122" s="1" t="s">
        <v>768</v>
      </c>
      <c r="I122" s="1" t="s">
        <v>1608</v>
      </c>
      <c r="J122" s="1" t="s">
        <v>1608</v>
      </c>
      <c r="K122" s="1" t="s">
        <v>2197</v>
      </c>
      <c r="L122" s="1" t="s">
        <v>2198</v>
      </c>
      <c r="M122" s="1" t="s">
        <v>51</v>
      </c>
      <c r="N122" s="1" t="s">
        <v>737</v>
      </c>
      <c r="O122" s="1" t="s">
        <v>31</v>
      </c>
      <c r="P122" s="1" t="s">
        <v>1262</v>
      </c>
      <c r="Q122" s="1" t="s">
        <v>948</v>
      </c>
      <c r="R122" s="1" t="s">
        <v>965</v>
      </c>
      <c r="S122" s="1" t="s">
        <v>950</v>
      </c>
      <c r="T122" s="1" t="s">
        <v>2199</v>
      </c>
      <c r="U122" s="1" t="s">
        <v>31</v>
      </c>
      <c r="V122" s="5"/>
      <c r="W122" s="5"/>
      <c r="X122" s="5"/>
      <c r="Y122" s="5"/>
      <c r="Z122" s="5"/>
    </row>
    <row r="123" ht="14.25" hidden="1" customHeight="1">
      <c r="A123" s="1" t="s">
        <v>2201</v>
      </c>
      <c r="B123" s="1">
        <v>1.100052E7</v>
      </c>
      <c r="C123" s="1" t="str">
        <f>VLOOKUP(B123,Equipment!A$1:J$470,9,0)</f>
        <v>E</v>
      </c>
      <c r="D123" s="1" t="s">
        <v>1109</v>
      </c>
      <c r="E123" s="1">
        <v>1041.0</v>
      </c>
      <c r="F123" s="1" t="s">
        <v>2202</v>
      </c>
      <c r="G123" s="1" t="s">
        <v>68</v>
      </c>
      <c r="H123" s="1" t="s">
        <v>768</v>
      </c>
      <c r="I123" s="1" t="s">
        <v>1608</v>
      </c>
      <c r="J123" s="1" t="s">
        <v>1608</v>
      </c>
      <c r="K123" s="1" t="s">
        <v>2197</v>
      </c>
      <c r="L123" s="1" t="s">
        <v>2206</v>
      </c>
      <c r="M123" s="1" t="s">
        <v>51</v>
      </c>
      <c r="N123" s="1" t="s">
        <v>737</v>
      </c>
      <c r="O123" s="1" t="s">
        <v>31</v>
      </c>
      <c r="P123" s="1" t="s">
        <v>1345</v>
      </c>
      <c r="Q123" s="1" t="s">
        <v>948</v>
      </c>
      <c r="R123" s="1" t="s">
        <v>965</v>
      </c>
      <c r="S123" s="1" t="s">
        <v>950</v>
      </c>
      <c r="T123" s="1" t="s">
        <v>2208</v>
      </c>
      <c r="U123" s="1" t="s">
        <v>31</v>
      </c>
      <c r="V123" s="5"/>
      <c r="W123" s="5"/>
      <c r="X123" s="5"/>
      <c r="Y123" s="5"/>
      <c r="Z123" s="5"/>
    </row>
    <row r="124" ht="14.25" hidden="1" customHeight="1">
      <c r="A124" s="1" t="s">
        <v>31</v>
      </c>
      <c r="B124" s="1">
        <v>1.1000935E7</v>
      </c>
      <c r="C124" s="1" t="str">
        <f>VLOOKUP(B124,Equipment!A$1:J$470,9,0)</f>
        <v>E</v>
      </c>
      <c r="D124" s="1" t="s">
        <v>2105</v>
      </c>
      <c r="E124" s="1">
        <v>1201.0</v>
      </c>
      <c r="F124" s="1" t="s">
        <v>1459</v>
      </c>
      <c r="G124" s="1" t="s">
        <v>1015</v>
      </c>
      <c r="H124" s="1" t="s">
        <v>31</v>
      </c>
      <c r="I124" s="1" t="s">
        <v>1608</v>
      </c>
      <c r="J124" s="1" t="s">
        <v>1608</v>
      </c>
      <c r="K124" s="1" t="s">
        <v>31</v>
      </c>
      <c r="L124" s="1" t="s">
        <v>1460</v>
      </c>
      <c r="M124" s="1" t="s">
        <v>51</v>
      </c>
      <c r="N124" s="1" t="s">
        <v>737</v>
      </c>
      <c r="O124" s="1" t="s">
        <v>31</v>
      </c>
      <c r="P124" s="1" t="s">
        <v>1188</v>
      </c>
      <c r="Q124" s="1" t="s">
        <v>948</v>
      </c>
      <c r="R124" s="1" t="s">
        <v>1461</v>
      </c>
      <c r="S124" s="1" t="s">
        <v>1462</v>
      </c>
      <c r="T124" s="1" t="s">
        <v>31</v>
      </c>
      <c r="U124" s="1" t="s">
        <v>31</v>
      </c>
      <c r="V124" s="5"/>
      <c r="W124" s="5"/>
      <c r="X124" s="5"/>
      <c r="Y124" s="5"/>
      <c r="Z124" s="5"/>
    </row>
    <row r="125" ht="14.25" hidden="1" customHeight="1">
      <c r="A125" s="1" t="s">
        <v>2218</v>
      </c>
      <c r="B125" s="1">
        <v>1.1001246E7</v>
      </c>
      <c r="C125" s="1" t="str">
        <f>VLOOKUP(B125,Equipment!A$1:J$470,9,0)</f>
        <v>E</v>
      </c>
      <c r="D125" s="1" t="s">
        <v>2219</v>
      </c>
      <c r="E125" s="1">
        <v>1031.0</v>
      </c>
      <c r="F125" s="1" t="s">
        <v>2220</v>
      </c>
      <c r="G125" s="1" t="s">
        <v>223</v>
      </c>
      <c r="H125" s="1" t="s">
        <v>31</v>
      </c>
      <c r="I125" s="1" t="s">
        <v>1608</v>
      </c>
      <c r="J125" s="1" t="s">
        <v>1608</v>
      </c>
      <c r="K125" s="1" t="s">
        <v>31</v>
      </c>
      <c r="L125" s="1" t="s">
        <v>981</v>
      </c>
      <c r="M125" s="1" t="s">
        <v>51</v>
      </c>
      <c r="N125" s="1" t="s">
        <v>737</v>
      </c>
      <c r="O125" s="1" t="s">
        <v>31</v>
      </c>
      <c r="P125" s="1" t="s">
        <v>1188</v>
      </c>
      <c r="Q125" s="1" t="s">
        <v>948</v>
      </c>
      <c r="R125" s="1" t="s">
        <v>2224</v>
      </c>
      <c r="S125" s="1" t="s">
        <v>983</v>
      </c>
      <c r="T125" s="1" t="s">
        <v>2229</v>
      </c>
      <c r="U125" s="1" t="s">
        <v>31</v>
      </c>
      <c r="V125" s="5"/>
      <c r="W125" s="5"/>
      <c r="X125" s="5"/>
      <c r="Y125" s="5"/>
      <c r="Z125" s="5"/>
    </row>
    <row r="126" ht="14.25" hidden="1" customHeight="1">
      <c r="A126" s="1" t="s">
        <v>2231</v>
      </c>
      <c r="B126" s="1">
        <v>1.1001247E7</v>
      </c>
      <c r="C126" s="1" t="str">
        <f>VLOOKUP(B126,Equipment!A$1:J$470,9,0)</f>
        <v>E</v>
      </c>
      <c r="D126" s="1" t="s">
        <v>2234</v>
      </c>
      <c r="E126" s="1">
        <v>1031.0</v>
      </c>
      <c r="F126" s="1" t="s">
        <v>2235</v>
      </c>
      <c r="G126" s="1" t="s">
        <v>223</v>
      </c>
      <c r="H126" s="1" t="s">
        <v>768</v>
      </c>
      <c r="I126" s="1" t="s">
        <v>1608</v>
      </c>
      <c r="J126" s="1" t="s">
        <v>1608</v>
      </c>
      <c r="K126" s="1" t="s">
        <v>31</v>
      </c>
      <c r="L126" s="1" t="s">
        <v>981</v>
      </c>
      <c r="M126" s="1" t="s">
        <v>51</v>
      </c>
      <c r="N126" s="1" t="s">
        <v>737</v>
      </c>
      <c r="O126" s="1" t="s">
        <v>31</v>
      </c>
      <c r="P126" s="1" t="s">
        <v>1718</v>
      </c>
      <c r="Q126" s="1" t="s">
        <v>948</v>
      </c>
      <c r="R126" s="1" t="s">
        <v>2224</v>
      </c>
      <c r="S126" s="1" t="s">
        <v>983</v>
      </c>
      <c r="T126" s="1" t="s">
        <v>2236</v>
      </c>
      <c r="U126" s="1" t="s">
        <v>31</v>
      </c>
      <c r="V126" s="5"/>
      <c r="W126" s="5"/>
      <c r="X126" s="5"/>
      <c r="Y126" s="5"/>
      <c r="Z126" s="5"/>
    </row>
    <row r="127" ht="14.25" hidden="1" customHeight="1">
      <c r="A127" s="1" t="s">
        <v>2238</v>
      </c>
      <c r="B127" s="1">
        <v>1.1001371E7</v>
      </c>
      <c r="C127" s="1" t="str">
        <f>VLOOKUP(B127,Equipment!A$1:J$470,9,0)</f>
        <v>E</v>
      </c>
      <c r="D127" s="1" t="s">
        <v>2246</v>
      </c>
      <c r="E127" s="1">
        <v>1002.0</v>
      </c>
      <c r="F127" s="1" t="s">
        <v>2247</v>
      </c>
      <c r="G127" s="1" t="s">
        <v>1176</v>
      </c>
      <c r="H127" s="1" t="s">
        <v>768</v>
      </c>
      <c r="I127" s="1" t="s">
        <v>1608</v>
      </c>
      <c r="J127" s="1" t="s">
        <v>1608</v>
      </c>
      <c r="K127" s="1" t="s">
        <v>1608</v>
      </c>
      <c r="L127" s="1" t="s">
        <v>1016</v>
      </c>
      <c r="M127" s="1" t="s">
        <v>51</v>
      </c>
      <c r="N127" s="1" t="s">
        <v>737</v>
      </c>
      <c r="O127" s="1" t="s">
        <v>31</v>
      </c>
      <c r="P127" s="1" t="s">
        <v>859</v>
      </c>
      <c r="Q127" s="1" t="s">
        <v>948</v>
      </c>
      <c r="R127" s="1" t="s">
        <v>2249</v>
      </c>
      <c r="S127" s="1" t="s">
        <v>1000</v>
      </c>
      <c r="T127" s="1" t="s">
        <v>1018</v>
      </c>
      <c r="U127" s="1" t="s">
        <v>31</v>
      </c>
      <c r="V127" s="5"/>
      <c r="W127" s="5"/>
      <c r="X127" s="5"/>
      <c r="Y127" s="5"/>
      <c r="Z127" s="5"/>
    </row>
    <row r="128" ht="14.25" hidden="1" customHeight="1">
      <c r="A128" s="1" t="s">
        <v>2251</v>
      </c>
      <c r="B128" s="1">
        <v>2.1000083E7</v>
      </c>
      <c r="C128" s="1" t="str">
        <f>VLOOKUP(B128,Equipment!A$1:J$470,9,0)</f>
        <v>U</v>
      </c>
      <c r="D128" s="1" t="s">
        <v>2254</v>
      </c>
      <c r="E128" s="1">
        <v>2501.0</v>
      </c>
      <c r="F128" s="1" t="s">
        <v>2255</v>
      </c>
      <c r="G128" s="1" t="s">
        <v>1082</v>
      </c>
      <c r="H128" s="1" t="s">
        <v>768</v>
      </c>
      <c r="I128" s="1" t="s">
        <v>1608</v>
      </c>
      <c r="J128" s="1" t="s">
        <v>1608</v>
      </c>
      <c r="K128" s="1" t="s">
        <v>1608</v>
      </c>
      <c r="L128" s="1" t="s">
        <v>1037</v>
      </c>
      <c r="M128" s="1" t="s">
        <v>51</v>
      </c>
      <c r="N128" s="1" t="s">
        <v>737</v>
      </c>
      <c r="O128" s="1" t="s">
        <v>31</v>
      </c>
      <c r="P128" s="1" t="s">
        <v>812</v>
      </c>
      <c r="Q128" s="1" t="s">
        <v>1039</v>
      </c>
      <c r="R128" s="1" t="s">
        <v>1334</v>
      </c>
      <c r="S128" s="1" t="s">
        <v>1041</v>
      </c>
      <c r="T128" s="1" t="s">
        <v>1336</v>
      </c>
      <c r="U128" s="1" t="s">
        <v>31</v>
      </c>
      <c r="V128" s="5"/>
      <c r="W128" s="5"/>
      <c r="X128" s="5"/>
      <c r="Y128" s="5"/>
      <c r="Z128" s="5"/>
    </row>
    <row r="129" ht="14.25" hidden="1" customHeight="1">
      <c r="A129" s="1" t="s">
        <v>2262</v>
      </c>
      <c r="B129" s="1">
        <v>2.1000086E7</v>
      </c>
      <c r="C129" s="1" t="str">
        <f>VLOOKUP(B129,Equipment!A$1:J$470,9,0)</f>
        <v>U</v>
      </c>
      <c r="D129" s="1" t="s">
        <v>2264</v>
      </c>
      <c r="E129" s="1">
        <v>2501.0</v>
      </c>
      <c r="F129" s="1" t="s">
        <v>2265</v>
      </c>
      <c r="G129" s="1" t="s">
        <v>1034</v>
      </c>
      <c r="H129" s="1" t="s">
        <v>768</v>
      </c>
      <c r="I129" s="1" t="s">
        <v>1608</v>
      </c>
      <c r="J129" s="1" t="s">
        <v>1608</v>
      </c>
      <c r="K129" s="1" t="s">
        <v>1608</v>
      </c>
      <c r="L129" s="1" t="s">
        <v>1037</v>
      </c>
      <c r="M129" s="1" t="s">
        <v>51</v>
      </c>
      <c r="N129" s="1" t="s">
        <v>737</v>
      </c>
      <c r="O129" s="1" t="s">
        <v>31</v>
      </c>
      <c r="P129" s="1" t="s">
        <v>789</v>
      </c>
      <c r="Q129" s="1" t="s">
        <v>1039</v>
      </c>
      <c r="R129" s="1" t="s">
        <v>1040</v>
      </c>
      <c r="S129" s="1" t="s">
        <v>1041</v>
      </c>
      <c r="T129" s="1" t="s">
        <v>1042</v>
      </c>
      <c r="U129" s="1" t="s">
        <v>31</v>
      </c>
      <c r="V129" s="5"/>
      <c r="W129" s="5"/>
      <c r="X129" s="5"/>
      <c r="Y129" s="5"/>
      <c r="Z129" s="5"/>
    </row>
    <row r="130" ht="14.25" hidden="1" customHeight="1">
      <c r="A130" s="1" t="s">
        <v>2268</v>
      </c>
      <c r="B130" s="1">
        <v>2.1000103E7</v>
      </c>
      <c r="C130" s="1" t="str">
        <f>VLOOKUP(B130,Equipment!A$1:J$470,9,0)</f>
        <v>U</v>
      </c>
      <c r="D130" s="1" t="s">
        <v>2273</v>
      </c>
      <c r="E130" s="1">
        <v>2501.0</v>
      </c>
      <c r="F130" s="1" t="s">
        <v>2274</v>
      </c>
      <c r="G130" s="1" t="s">
        <v>1034</v>
      </c>
      <c r="H130" s="1" t="s">
        <v>768</v>
      </c>
      <c r="I130" s="1" t="s">
        <v>1608</v>
      </c>
      <c r="J130" s="1" t="s">
        <v>1608</v>
      </c>
      <c r="K130" s="1" t="s">
        <v>1608</v>
      </c>
      <c r="L130" s="1" t="s">
        <v>1037</v>
      </c>
      <c r="M130" s="1" t="s">
        <v>51</v>
      </c>
      <c r="N130" s="1" t="s">
        <v>737</v>
      </c>
      <c r="O130" s="1" t="s">
        <v>31</v>
      </c>
      <c r="P130" s="1" t="s">
        <v>789</v>
      </c>
      <c r="Q130" s="1" t="s">
        <v>1039</v>
      </c>
      <c r="R130" s="1" t="s">
        <v>1054</v>
      </c>
      <c r="S130" s="1" t="s">
        <v>1041</v>
      </c>
      <c r="T130" s="1" t="s">
        <v>1055</v>
      </c>
      <c r="U130" s="1" t="s">
        <v>31</v>
      </c>
      <c r="V130" s="5"/>
      <c r="W130" s="5"/>
      <c r="X130" s="5"/>
      <c r="Y130" s="5"/>
      <c r="Z130" s="5"/>
    </row>
    <row r="131" ht="14.25" hidden="1" customHeight="1">
      <c r="A131" s="1" t="s">
        <v>2276</v>
      </c>
      <c r="B131" s="1">
        <v>2.1000123E7</v>
      </c>
      <c r="C131" s="1" t="str">
        <f>VLOOKUP(B131,Equipment!A$1:J$470,9,0)</f>
        <v>U</v>
      </c>
      <c r="D131" s="1" t="s">
        <v>2277</v>
      </c>
      <c r="E131" s="1">
        <v>2501.0</v>
      </c>
      <c r="F131" s="1" t="s">
        <v>2278</v>
      </c>
      <c r="G131" s="1" t="s">
        <v>1034</v>
      </c>
      <c r="H131" s="1" t="s">
        <v>768</v>
      </c>
      <c r="I131" s="1" t="s">
        <v>1608</v>
      </c>
      <c r="J131" s="1" t="s">
        <v>1608</v>
      </c>
      <c r="K131" s="1" t="s">
        <v>1608</v>
      </c>
      <c r="L131" s="1" t="s">
        <v>1037</v>
      </c>
      <c r="M131" s="1" t="s">
        <v>51</v>
      </c>
      <c r="N131" s="1" t="s">
        <v>737</v>
      </c>
      <c r="O131" s="1" t="s">
        <v>31</v>
      </c>
      <c r="P131" s="1" t="s">
        <v>1345</v>
      </c>
      <c r="Q131" s="1" t="s">
        <v>1039</v>
      </c>
      <c r="R131" s="1" t="s">
        <v>2280</v>
      </c>
      <c r="S131" s="1" t="s">
        <v>1041</v>
      </c>
      <c r="T131" s="1" t="s">
        <v>2281</v>
      </c>
      <c r="U131" s="1" t="s">
        <v>31</v>
      </c>
      <c r="V131" s="5"/>
      <c r="W131" s="5"/>
      <c r="X131" s="5"/>
      <c r="Y131" s="5"/>
      <c r="Z131" s="5"/>
    </row>
    <row r="132" ht="14.25" hidden="1" customHeight="1">
      <c r="A132" s="1" t="s">
        <v>2282</v>
      </c>
      <c r="B132" s="1">
        <v>2.1000884E7</v>
      </c>
      <c r="C132" s="1" t="str">
        <f>VLOOKUP(B132,Equipment!A$1:J$470,9,0)</f>
        <v>#N/A</v>
      </c>
      <c r="D132" s="1" t="s">
        <v>2284</v>
      </c>
      <c r="E132" s="1">
        <v>1501.0</v>
      </c>
      <c r="F132" s="1" t="s">
        <v>2285</v>
      </c>
      <c r="G132" s="1" t="s">
        <v>2286</v>
      </c>
      <c r="H132" s="1" t="s">
        <v>31</v>
      </c>
      <c r="I132" s="1" t="s">
        <v>1608</v>
      </c>
      <c r="J132" s="1" t="s">
        <v>1608</v>
      </c>
      <c r="K132" s="1" t="s">
        <v>1608</v>
      </c>
      <c r="L132" s="1" t="s">
        <v>736</v>
      </c>
      <c r="M132" s="1" t="s">
        <v>51</v>
      </c>
      <c r="N132" s="1" t="s">
        <v>737</v>
      </c>
      <c r="O132" s="1" t="s">
        <v>31</v>
      </c>
      <c r="P132" s="1" t="s">
        <v>1684</v>
      </c>
      <c r="Q132" s="1" t="s">
        <v>741</v>
      </c>
      <c r="R132" s="1" t="s">
        <v>2290</v>
      </c>
      <c r="S132" s="1" t="s">
        <v>745</v>
      </c>
      <c r="T132" s="1" t="s">
        <v>2291</v>
      </c>
      <c r="U132" s="1" t="s">
        <v>31</v>
      </c>
      <c r="V132" s="5"/>
      <c r="W132" s="5"/>
      <c r="X132" s="5"/>
      <c r="Y132" s="5"/>
      <c r="Z132" s="5"/>
    </row>
    <row r="133" ht="14.25" hidden="1" customHeight="1">
      <c r="A133" s="1" t="s">
        <v>2293</v>
      </c>
      <c r="B133" s="1">
        <v>2.1000907E7</v>
      </c>
      <c r="C133" s="1" t="str">
        <f>VLOOKUP(B133,Equipment!A$1:J$470,9,0)</f>
        <v>#N/A</v>
      </c>
      <c r="D133" s="1" t="s">
        <v>2298</v>
      </c>
      <c r="E133" s="1">
        <v>1001.0</v>
      </c>
      <c r="F133" s="1" t="s">
        <v>2299</v>
      </c>
      <c r="G133" s="1" t="s">
        <v>1233</v>
      </c>
      <c r="H133" s="1" t="s">
        <v>768</v>
      </c>
      <c r="I133" s="1" t="s">
        <v>1608</v>
      </c>
      <c r="J133" s="1" t="s">
        <v>1608</v>
      </c>
      <c r="K133" s="1" t="s">
        <v>1608</v>
      </c>
      <c r="L133" s="1" t="s">
        <v>1237</v>
      </c>
      <c r="M133" s="1" t="s">
        <v>51</v>
      </c>
      <c r="N133" s="1" t="s">
        <v>737</v>
      </c>
      <c r="O133" s="1" t="s">
        <v>31</v>
      </c>
      <c r="P133" s="1" t="s">
        <v>998</v>
      </c>
      <c r="Q133" s="1" t="s">
        <v>948</v>
      </c>
      <c r="R133" s="1" t="s">
        <v>2301</v>
      </c>
      <c r="S133" s="1" t="s">
        <v>1139</v>
      </c>
      <c r="T133" s="1" t="s">
        <v>1140</v>
      </c>
      <c r="U133" s="1" t="s">
        <v>31</v>
      </c>
      <c r="V133" s="5"/>
      <c r="W133" s="5"/>
      <c r="X133" s="5"/>
      <c r="Y133" s="5"/>
      <c r="Z133" s="5"/>
    </row>
    <row r="134" ht="14.25" hidden="1" customHeight="1">
      <c r="A134" s="1" t="s">
        <v>2302</v>
      </c>
      <c r="B134" s="1">
        <v>2.100097E7</v>
      </c>
      <c r="C134" s="1" t="str">
        <f>VLOOKUP(B134,Equipment!A$1:J$470,9,0)</f>
        <v>#N/A</v>
      </c>
      <c r="D134" s="1" t="s">
        <v>2310</v>
      </c>
      <c r="E134" s="1">
        <v>1001.0</v>
      </c>
      <c r="F134" s="1" t="s">
        <v>2313</v>
      </c>
      <c r="G134" s="1" t="s">
        <v>1233</v>
      </c>
      <c r="H134" s="1" t="s">
        <v>768</v>
      </c>
      <c r="I134" s="1" t="s">
        <v>1608</v>
      </c>
      <c r="J134" s="1" t="s">
        <v>1608</v>
      </c>
      <c r="K134" s="1" t="s">
        <v>1608</v>
      </c>
      <c r="L134" s="1" t="s">
        <v>1237</v>
      </c>
      <c r="M134" s="1" t="s">
        <v>51</v>
      </c>
      <c r="N134" s="1" t="s">
        <v>737</v>
      </c>
      <c r="O134" s="1" t="s">
        <v>31</v>
      </c>
      <c r="P134" s="1" t="s">
        <v>998</v>
      </c>
      <c r="Q134" s="1" t="s">
        <v>948</v>
      </c>
      <c r="R134" s="1" t="s">
        <v>2301</v>
      </c>
      <c r="S134" s="1" t="s">
        <v>1139</v>
      </c>
      <c r="T134" s="1" t="s">
        <v>1140</v>
      </c>
      <c r="U134" s="1" t="s">
        <v>31</v>
      </c>
      <c r="V134" s="5"/>
      <c r="W134" s="5"/>
      <c r="X134" s="5"/>
      <c r="Y134" s="5"/>
      <c r="Z134" s="5"/>
    </row>
    <row r="135" ht="14.25" hidden="1" customHeight="1">
      <c r="A135" s="1" t="s">
        <v>2317</v>
      </c>
      <c r="B135" s="1">
        <v>1.1000069E7</v>
      </c>
      <c r="C135" s="1" t="str">
        <f>VLOOKUP(B135,Equipment!A$1:J$470,9,0)</f>
        <v>E</v>
      </c>
      <c r="D135" s="1" t="s">
        <v>274</v>
      </c>
      <c r="E135" s="1">
        <v>1501.0</v>
      </c>
      <c r="F135" s="1" t="s">
        <v>1197</v>
      </c>
      <c r="G135" s="1" t="s">
        <v>1485</v>
      </c>
      <c r="H135" s="1" t="s">
        <v>768</v>
      </c>
      <c r="I135" s="1" t="s">
        <v>2197</v>
      </c>
      <c r="J135" s="1" t="s">
        <v>2197</v>
      </c>
      <c r="K135" s="1" t="s">
        <v>2197</v>
      </c>
      <c r="L135" s="1" t="s">
        <v>2319</v>
      </c>
      <c r="M135" s="1" t="s">
        <v>51</v>
      </c>
      <c r="N135" s="1" t="s">
        <v>737</v>
      </c>
      <c r="O135" s="1" t="s">
        <v>31</v>
      </c>
      <c r="P135" s="1" t="s">
        <v>812</v>
      </c>
      <c r="Q135" s="1" t="s">
        <v>741</v>
      </c>
      <c r="R135" s="1" t="s">
        <v>2320</v>
      </c>
      <c r="S135" s="1" t="s">
        <v>745</v>
      </c>
      <c r="T135" s="1" t="s">
        <v>2322</v>
      </c>
      <c r="U135" s="1" t="s">
        <v>31</v>
      </c>
      <c r="V135" s="5"/>
      <c r="W135" s="5"/>
      <c r="X135" s="5"/>
      <c r="Y135" s="5"/>
      <c r="Z135" s="5"/>
    </row>
    <row r="136" ht="14.25" hidden="1" customHeight="1">
      <c r="A136" s="1" t="s">
        <v>2323</v>
      </c>
      <c r="B136" s="1">
        <v>1.100007E7</v>
      </c>
      <c r="C136" s="1" t="str">
        <f>VLOOKUP(B136,Equipment!A$1:J$470,9,0)</f>
        <v>E</v>
      </c>
      <c r="D136" s="1" t="s">
        <v>279</v>
      </c>
      <c r="E136" s="1">
        <v>1501.0</v>
      </c>
      <c r="F136" s="1" t="s">
        <v>1197</v>
      </c>
      <c r="G136" s="1" t="s">
        <v>1219</v>
      </c>
      <c r="H136" s="1" t="s">
        <v>768</v>
      </c>
      <c r="I136" s="1" t="s">
        <v>2197</v>
      </c>
      <c r="J136" s="1" t="s">
        <v>2197</v>
      </c>
      <c r="K136" s="1" t="s">
        <v>2197</v>
      </c>
      <c r="L136" s="1" t="s">
        <v>2329</v>
      </c>
      <c r="M136" s="1" t="s">
        <v>51</v>
      </c>
      <c r="N136" s="1" t="s">
        <v>737</v>
      </c>
      <c r="O136" s="1" t="s">
        <v>31</v>
      </c>
      <c r="P136" s="1" t="s">
        <v>812</v>
      </c>
      <c r="Q136" s="1" t="s">
        <v>741</v>
      </c>
      <c r="R136" s="1" t="s">
        <v>2330</v>
      </c>
      <c r="S136" s="1" t="s">
        <v>745</v>
      </c>
      <c r="T136" s="1" t="s">
        <v>2322</v>
      </c>
      <c r="U136" s="1" t="s">
        <v>31</v>
      </c>
      <c r="V136" s="5"/>
      <c r="W136" s="5"/>
      <c r="X136" s="5"/>
      <c r="Y136" s="5"/>
      <c r="Z136" s="5"/>
    </row>
    <row r="137" ht="14.25" hidden="1" customHeight="1">
      <c r="A137" s="1" t="s">
        <v>2331</v>
      </c>
      <c r="B137" s="1">
        <v>1.1000071E7</v>
      </c>
      <c r="C137" s="1" t="str">
        <f>VLOOKUP(B137,Equipment!A$1:J$470,9,0)</f>
        <v>E</v>
      </c>
      <c r="D137" s="1" t="s">
        <v>288</v>
      </c>
      <c r="E137" s="1">
        <v>1501.0</v>
      </c>
      <c r="F137" s="1" t="s">
        <v>1197</v>
      </c>
      <c r="G137" s="1" t="s">
        <v>1485</v>
      </c>
      <c r="H137" s="1" t="s">
        <v>768</v>
      </c>
      <c r="I137" s="1" t="s">
        <v>2197</v>
      </c>
      <c r="J137" s="1" t="s">
        <v>2197</v>
      </c>
      <c r="K137" s="1" t="s">
        <v>2197</v>
      </c>
      <c r="L137" s="1" t="s">
        <v>2319</v>
      </c>
      <c r="M137" s="1" t="s">
        <v>51</v>
      </c>
      <c r="N137" s="1" t="s">
        <v>737</v>
      </c>
      <c r="O137" s="1" t="s">
        <v>31</v>
      </c>
      <c r="P137" s="1" t="s">
        <v>812</v>
      </c>
      <c r="Q137" s="1" t="s">
        <v>741</v>
      </c>
      <c r="R137" s="1" t="s">
        <v>2320</v>
      </c>
      <c r="S137" s="1" t="s">
        <v>745</v>
      </c>
      <c r="T137" s="1" t="s">
        <v>2339</v>
      </c>
      <c r="U137" s="1" t="s">
        <v>31</v>
      </c>
      <c r="V137" s="5"/>
      <c r="W137" s="5"/>
      <c r="X137" s="5"/>
      <c r="Y137" s="5"/>
      <c r="Z137" s="5"/>
    </row>
    <row r="138" ht="14.25" hidden="1" customHeight="1">
      <c r="A138" s="1" t="s">
        <v>2340</v>
      </c>
      <c r="B138" s="1">
        <v>1.1000072E7</v>
      </c>
      <c r="C138" s="1" t="str">
        <f>VLOOKUP(B138,Equipment!A$1:J$470,9,0)</f>
        <v>E</v>
      </c>
      <c r="D138" s="1" t="s">
        <v>291</v>
      </c>
      <c r="E138" s="1">
        <v>1501.0</v>
      </c>
      <c r="F138" s="1" t="s">
        <v>1197</v>
      </c>
      <c r="G138" s="1" t="s">
        <v>1219</v>
      </c>
      <c r="H138" s="1" t="s">
        <v>768</v>
      </c>
      <c r="I138" s="1" t="s">
        <v>2197</v>
      </c>
      <c r="J138" s="1" t="s">
        <v>2197</v>
      </c>
      <c r="K138" s="1" t="s">
        <v>2197</v>
      </c>
      <c r="L138" s="1" t="s">
        <v>2329</v>
      </c>
      <c r="M138" s="1" t="s">
        <v>51</v>
      </c>
      <c r="N138" s="1" t="s">
        <v>737</v>
      </c>
      <c r="O138" s="1" t="s">
        <v>31</v>
      </c>
      <c r="P138" s="1" t="s">
        <v>812</v>
      </c>
      <c r="Q138" s="1" t="s">
        <v>741</v>
      </c>
      <c r="R138" s="1" t="s">
        <v>2330</v>
      </c>
      <c r="S138" s="1" t="s">
        <v>745</v>
      </c>
      <c r="T138" s="1" t="s">
        <v>2339</v>
      </c>
      <c r="U138" s="1" t="s">
        <v>31</v>
      </c>
      <c r="V138" s="5"/>
      <c r="W138" s="5"/>
      <c r="X138" s="5"/>
      <c r="Y138" s="5"/>
      <c r="Z138" s="5"/>
    </row>
    <row r="139" ht="14.25" hidden="1" customHeight="1">
      <c r="A139" s="1" t="s">
        <v>2347</v>
      </c>
      <c r="B139" s="1">
        <v>1.1000091E7</v>
      </c>
      <c r="C139" s="1" t="str">
        <f>VLOOKUP(B139,Equipment!A$1:J$470,9,0)</f>
        <v>E</v>
      </c>
      <c r="D139" s="1" t="s">
        <v>300</v>
      </c>
      <c r="E139" s="1">
        <v>1501.0</v>
      </c>
      <c r="F139" s="1" t="s">
        <v>731</v>
      </c>
      <c r="G139" s="1" t="s">
        <v>1361</v>
      </c>
      <c r="H139" s="1" t="s">
        <v>31</v>
      </c>
      <c r="I139" s="1" t="s">
        <v>2197</v>
      </c>
      <c r="J139" s="1" t="s">
        <v>2197</v>
      </c>
      <c r="K139" s="1" t="s">
        <v>2197</v>
      </c>
      <c r="L139" s="1" t="s">
        <v>2351</v>
      </c>
      <c r="M139" s="1" t="s">
        <v>51</v>
      </c>
      <c r="N139" s="1" t="s">
        <v>737</v>
      </c>
      <c r="O139" s="1" t="s">
        <v>31</v>
      </c>
      <c r="P139" s="1" t="s">
        <v>740</v>
      </c>
      <c r="Q139" s="1" t="s">
        <v>741</v>
      </c>
      <c r="R139" s="1" t="s">
        <v>2353</v>
      </c>
      <c r="S139" s="1" t="s">
        <v>745</v>
      </c>
      <c r="T139" s="1" t="s">
        <v>2355</v>
      </c>
      <c r="U139" s="1" t="s">
        <v>31</v>
      </c>
      <c r="V139" s="5"/>
      <c r="W139" s="5"/>
      <c r="X139" s="5"/>
      <c r="Y139" s="5"/>
      <c r="Z139" s="5"/>
    </row>
    <row r="140" ht="14.25" hidden="1" customHeight="1">
      <c r="A140" s="1" t="s">
        <v>2356</v>
      </c>
      <c r="B140" s="1">
        <v>1.1000227E7</v>
      </c>
      <c r="C140" s="1" t="str">
        <f>VLOOKUP(B140,Equipment!A$1:J$470,9,0)</f>
        <v>E</v>
      </c>
      <c r="D140" s="1" t="s">
        <v>326</v>
      </c>
      <c r="E140" s="1">
        <v>2001.0</v>
      </c>
      <c r="F140" s="1" t="s">
        <v>785</v>
      </c>
      <c r="G140" s="1" t="s">
        <v>121</v>
      </c>
      <c r="H140" s="1" t="s">
        <v>768</v>
      </c>
      <c r="I140" s="1" t="s">
        <v>2197</v>
      </c>
      <c r="J140" s="1" t="s">
        <v>2197</v>
      </c>
      <c r="K140" s="1" t="s">
        <v>2197</v>
      </c>
      <c r="L140" s="1" t="s">
        <v>2358</v>
      </c>
      <c r="M140" s="1" t="s">
        <v>51</v>
      </c>
      <c r="N140" s="1" t="s">
        <v>737</v>
      </c>
      <c r="O140" s="1" t="s">
        <v>31</v>
      </c>
      <c r="P140" s="1" t="s">
        <v>789</v>
      </c>
      <c r="Q140" s="1" t="s">
        <v>777</v>
      </c>
      <c r="R140" s="1" t="s">
        <v>1592</v>
      </c>
      <c r="S140" s="1" t="s">
        <v>779</v>
      </c>
      <c r="T140" s="1" t="s">
        <v>2360</v>
      </c>
      <c r="U140" s="1" t="s">
        <v>31</v>
      </c>
      <c r="V140" s="5"/>
      <c r="W140" s="5"/>
      <c r="X140" s="5"/>
      <c r="Y140" s="5"/>
      <c r="Z140" s="5"/>
    </row>
    <row r="141" ht="14.25" hidden="1" customHeight="1">
      <c r="A141" s="1" t="s">
        <v>2361</v>
      </c>
      <c r="B141" s="1">
        <v>1.1000227E7</v>
      </c>
      <c r="C141" s="1" t="str">
        <f>VLOOKUP(B141,Equipment!A$1:J$470,9,0)</f>
        <v>E</v>
      </c>
      <c r="D141" s="1" t="s">
        <v>326</v>
      </c>
      <c r="E141" s="1">
        <v>2001.0</v>
      </c>
      <c r="F141" s="1" t="s">
        <v>846</v>
      </c>
      <c r="G141" s="1" t="s">
        <v>121</v>
      </c>
      <c r="H141" s="1" t="s">
        <v>768</v>
      </c>
      <c r="I141" s="1" t="s">
        <v>2197</v>
      </c>
      <c r="J141" s="1" t="s">
        <v>2197</v>
      </c>
      <c r="K141" s="1" t="s">
        <v>2197</v>
      </c>
      <c r="L141" s="1" t="s">
        <v>2358</v>
      </c>
      <c r="M141" s="1" t="s">
        <v>51</v>
      </c>
      <c r="N141" s="1" t="s">
        <v>737</v>
      </c>
      <c r="O141" s="1" t="s">
        <v>31</v>
      </c>
      <c r="P141" s="1" t="s">
        <v>850</v>
      </c>
      <c r="Q141" s="1" t="s">
        <v>777</v>
      </c>
      <c r="R141" s="1" t="s">
        <v>1592</v>
      </c>
      <c r="S141" s="1" t="s">
        <v>779</v>
      </c>
      <c r="T141" s="1" t="s">
        <v>2360</v>
      </c>
      <c r="U141" s="1" t="s">
        <v>31</v>
      </c>
      <c r="V141" s="5"/>
      <c r="W141" s="5"/>
      <c r="X141" s="5"/>
      <c r="Y141" s="5"/>
      <c r="Z141" s="5"/>
    </row>
    <row r="142" ht="14.25" hidden="1" customHeight="1">
      <c r="A142" s="1" t="s">
        <v>2371</v>
      </c>
      <c r="B142" s="1">
        <v>1.1000504E7</v>
      </c>
      <c r="C142" s="1" t="str">
        <f>VLOOKUP(B142,Equipment!A$1:J$470,9,0)</f>
        <v>E</v>
      </c>
      <c r="D142" s="1" t="s">
        <v>1091</v>
      </c>
      <c r="E142" s="1">
        <v>1041.0</v>
      </c>
      <c r="F142" s="1" t="s">
        <v>2372</v>
      </c>
      <c r="G142" s="1" t="s">
        <v>68</v>
      </c>
      <c r="H142" s="1" t="s">
        <v>768</v>
      </c>
      <c r="I142" s="1" t="s">
        <v>2197</v>
      </c>
      <c r="J142" s="1" t="s">
        <v>2197</v>
      </c>
      <c r="K142" s="1" t="s">
        <v>31</v>
      </c>
      <c r="L142" s="1" t="s">
        <v>2373</v>
      </c>
      <c r="M142" s="1" t="s">
        <v>51</v>
      </c>
      <c r="N142" s="1" t="s">
        <v>737</v>
      </c>
      <c r="O142" s="1" t="s">
        <v>31</v>
      </c>
      <c r="P142" s="1" t="s">
        <v>2374</v>
      </c>
      <c r="Q142" s="1" t="s">
        <v>948</v>
      </c>
      <c r="R142" s="1" t="s">
        <v>949</v>
      </c>
      <c r="S142" s="1" t="s">
        <v>950</v>
      </c>
      <c r="T142" s="1" t="s">
        <v>2375</v>
      </c>
      <c r="U142" s="1" t="s">
        <v>31</v>
      </c>
      <c r="V142" s="5"/>
      <c r="W142" s="5"/>
      <c r="X142" s="5"/>
      <c r="Y142" s="5"/>
      <c r="Z142" s="5"/>
    </row>
    <row r="143" ht="14.25" hidden="1" customHeight="1">
      <c r="A143" s="1" t="s">
        <v>2379</v>
      </c>
      <c r="B143" s="1">
        <v>1.1000787E7</v>
      </c>
      <c r="C143" s="1" t="str">
        <f>VLOOKUP(B143,Equipment!A$1:J$470,9,0)</f>
        <v>E</v>
      </c>
      <c r="D143" s="1" t="s">
        <v>1765</v>
      </c>
      <c r="E143" s="1">
        <v>1002.0</v>
      </c>
      <c r="F143" s="1" t="s">
        <v>2383</v>
      </c>
      <c r="G143" s="1" t="s">
        <v>131</v>
      </c>
      <c r="H143" s="1" t="s">
        <v>768</v>
      </c>
      <c r="I143" s="1" t="s">
        <v>2197</v>
      </c>
      <c r="J143" s="1" t="s">
        <v>2197</v>
      </c>
      <c r="K143" s="1" t="s">
        <v>2197</v>
      </c>
      <c r="L143" s="1" t="s">
        <v>1269</v>
      </c>
      <c r="M143" s="1" t="s">
        <v>51</v>
      </c>
      <c r="N143" s="1" t="s">
        <v>737</v>
      </c>
      <c r="O143" s="1" t="s">
        <v>31</v>
      </c>
      <c r="P143" s="1" t="s">
        <v>828</v>
      </c>
      <c r="Q143" s="1" t="s">
        <v>948</v>
      </c>
      <c r="R143" s="1" t="s">
        <v>1286</v>
      </c>
      <c r="S143" s="1" t="s">
        <v>1000</v>
      </c>
      <c r="T143" s="1" t="s">
        <v>1288</v>
      </c>
      <c r="U143" s="1" t="s">
        <v>31</v>
      </c>
      <c r="V143" s="5"/>
      <c r="W143" s="5"/>
      <c r="X143" s="5"/>
      <c r="Y143" s="5"/>
      <c r="Z143" s="5"/>
    </row>
    <row r="144" ht="14.25" hidden="1" customHeight="1">
      <c r="A144" s="1" t="s">
        <v>2386</v>
      </c>
      <c r="B144" s="1">
        <v>1.100084E7</v>
      </c>
      <c r="C144" s="1" t="str">
        <f>VLOOKUP(B144,Equipment!A$1:J$470,9,0)</f>
        <v>E</v>
      </c>
      <c r="D144" s="1" t="s">
        <v>1927</v>
      </c>
      <c r="E144" s="1">
        <v>1002.0</v>
      </c>
      <c r="F144" s="1" t="s">
        <v>1282</v>
      </c>
      <c r="G144" s="1" t="s">
        <v>131</v>
      </c>
      <c r="H144" s="1" t="s">
        <v>768</v>
      </c>
      <c r="I144" s="1" t="s">
        <v>2197</v>
      </c>
      <c r="J144" s="1" t="s">
        <v>2197</v>
      </c>
      <c r="K144" s="1" t="s">
        <v>2197</v>
      </c>
      <c r="L144" s="1" t="s">
        <v>1269</v>
      </c>
      <c r="M144" s="1" t="s">
        <v>51</v>
      </c>
      <c r="N144" s="1" t="s">
        <v>737</v>
      </c>
      <c r="O144" s="1" t="s">
        <v>31</v>
      </c>
      <c r="P144" s="1" t="s">
        <v>1285</v>
      </c>
      <c r="Q144" s="1" t="s">
        <v>948</v>
      </c>
      <c r="R144" s="1" t="s">
        <v>1286</v>
      </c>
      <c r="S144" s="1" t="s">
        <v>1000</v>
      </c>
      <c r="T144" s="1" t="s">
        <v>1288</v>
      </c>
      <c r="U144" s="1" t="s">
        <v>31</v>
      </c>
      <c r="V144" s="5"/>
      <c r="W144" s="5"/>
      <c r="X144" s="5"/>
      <c r="Y144" s="5"/>
      <c r="Z144" s="5"/>
    </row>
    <row r="145" ht="14.25" hidden="1" customHeight="1">
      <c r="A145" s="1" t="s">
        <v>2395</v>
      </c>
      <c r="B145" s="1">
        <v>1.1001274E7</v>
      </c>
      <c r="C145" s="1" t="str">
        <f>VLOOKUP(B145,Equipment!A$1:J$470,9,0)</f>
        <v>E</v>
      </c>
      <c r="D145" s="1" t="s">
        <v>2397</v>
      </c>
      <c r="E145" s="1">
        <v>1002.0</v>
      </c>
      <c r="F145" s="1" t="s">
        <v>996</v>
      </c>
      <c r="G145" s="1" t="s">
        <v>131</v>
      </c>
      <c r="H145" s="1" t="s">
        <v>768</v>
      </c>
      <c r="I145" s="1" t="s">
        <v>2197</v>
      </c>
      <c r="J145" s="1" t="s">
        <v>2197</v>
      </c>
      <c r="K145" s="1" t="s">
        <v>2197</v>
      </c>
      <c r="L145" s="1" t="s">
        <v>2399</v>
      </c>
      <c r="M145" s="1" t="s">
        <v>51</v>
      </c>
      <c r="N145" s="1" t="s">
        <v>737</v>
      </c>
      <c r="O145" s="1" t="s">
        <v>31</v>
      </c>
      <c r="P145" s="1" t="s">
        <v>1697</v>
      </c>
      <c r="Q145" s="1" t="s">
        <v>948</v>
      </c>
      <c r="R145" s="1" t="s">
        <v>999</v>
      </c>
      <c r="S145" s="1" t="s">
        <v>1000</v>
      </c>
      <c r="T145" s="1" t="s">
        <v>2400</v>
      </c>
      <c r="U145" s="1" t="s">
        <v>31</v>
      </c>
      <c r="V145" s="5"/>
      <c r="W145" s="5"/>
      <c r="X145" s="5"/>
      <c r="Y145" s="5"/>
      <c r="Z145" s="5"/>
    </row>
    <row r="146" ht="14.25" hidden="1" customHeight="1">
      <c r="A146" s="1" t="s">
        <v>2402</v>
      </c>
      <c r="B146" s="1">
        <v>2.1000364E7</v>
      </c>
      <c r="C146" s="1" t="str">
        <f>VLOOKUP(B146,Equipment!A$1:J$470,9,0)</f>
        <v>#N/A</v>
      </c>
      <c r="D146" s="1" t="s">
        <v>2403</v>
      </c>
      <c r="E146" s="1">
        <v>2001.0</v>
      </c>
      <c r="F146" s="1" t="s">
        <v>766</v>
      </c>
      <c r="G146" s="1" t="s">
        <v>1082</v>
      </c>
      <c r="H146" s="1" t="s">
        <v>768</v>
      </c>
      <c r="I146" s="1" t="s">
        <v>2197</v>
      </c>
      <c r="J146" s="1" t="s">
        <v>2197</v>
      </c>
      <c r="K146" s="1" t="s">
        <v>31</v>
      </c>
      <c r="L146" s="1" t="s">
        <v>2407</v>
      </c>
      <c r="M146" s="1" t="s">
        <v>51</v>
      </c>
      <c r="N146" s="1" t="s">
        <v>737</v>
      </c>
      <c r="O146" s="1" t="s">
        <v>31</v>
      </c>
      <c r="P146" s="1" t="s">
        <v>1655</v>
      </c>
      <c r="Q146" s="1" t="s">
        <v>777</v>
      </c>
      <c r="R146" s="1" t="s">
        <v>2403</v>
      </c>
      <c r="S146" s="1" t="s">
        <v>779</v>
      </c>
      <c r="T146" s="1" t="s">
        <v>2409</v>
      </c>
      <c r="U146" s="1" t="s">
        <v>31</v>
      </c>
      <c r="V146" s="5"/>
      <c r="W146" s="5"/>
      <c r="X146" s="5"/>
      <c r="Y146" s="5"/>
      <c r="Z146" s="5"/>
    </row>
    <row r="147" ht="14.25" hidden="1" customHeight="1">
      <c r="A147" s="1" t="s">
        <v>2412</v>
      </c>
      <c r="B147" s="1">
        <v>2.1000364E7</v>
      </c>
      <c r="C147" s="1" t="str">
        <f>VLOOKUP(B147,Equipment!A$1:J$470,9,0)</f>
        <v>#N/A</v>
      </c>
      <c r="D147" s="1" t="s">
        <v>2403</v>
      </c>
      <c r="E147" s="1">
        <v>2001.0</v>
      </c>
      <c r="F147" s="1" t="s">
        <v>785</v>
      </c>
      <c r="G147" s="1" t="s">
        <v>1082</v>
      </c>
      <c r="H147" s="1" t="s">
        <v>768</v>
      </c>
      <c r="I147" s="1" t="s">
        <v>2197</v>
      </c>
      <c r="J147" s="1" t="s">
        <v>2197</v>
      </c>
      <c r="K147" s="1" t="s">
        <v>31</v>
      </c>
      <c r="L147" s="1" t="s">
        <v>2407</v>
      </c>
      <c r="M147" s="1" t="s">
        <v>51</v>
      </c>
      <c r="N147" s="1" t="s">
        <v>737</v>
      </c>
      <c r="O147" s="1" t="s">
        <v>31</v>
      </c>
      <c r="P147" s="1" t="s">
        <v>789</v>
      </c>
      <c r="Q147" s="1" t="s">
        <v>777</v>
      </c>
      <c r="R147" s="1" t="s">
        <v>2403</v>
      </c>
      <c r="S147" s="1" t="s">
        <v>779</v>
      </c>
      <c r="T147" s="1" t="s">
        <v>2409</v>
      </c>
      <c r="U147" s="1" t="s">
        <v>31</v>
      </c>
      <c r="V147" s="5"/>
      <c r="W147" s="5"/>
      <c r="X147" s="5"/>
      <c r="Y147" s="5"/>
      <c r="Z147" s="5"/>
    </row>
    <row r="148" ht="14.25" hidden="1" customHeight="1">
      <c r="A148" s="1" t="s">
        <v>2421</v>
      </c>
      <c r="B148" s="1">
        <v>2.1000755E7</v>
      </c>
      <c r="C148" s="1" t="str">
        <f>VLOOKUP(B148,Equipment!A$1:J$470,9,0)</f>
        <v>#N/A</v>
      </c>
      <c r="D148" s="1" t="s">
        <v>2429</v>
      </c>
      <c r="E148" s="1">
        <v>1031.0</v>
      </c>
      <c r="F148" s="1" t="s">
        <v>2430</v>
      </c>
      <c r="G148" s="1" t="s">
        <v>1082</v>
      </c>
      <c r="H148" s="1" t="s">
        <v>768</v>
      </c>
      <c r="I148" s="1" t="s">
        <v>2197</v>
      </c>
      <c r="J148" s="1" t="s">
        <v>2197</v>
      </c>
      <c r="K148" s="1" t="s">
        <v>31</v>
      </c>
      <c r="L148" s="1" t="s">
        <v>2433</v>
      </c>
      <c r="M148" s="1" t="s">
        <v>51</v>
      </c>
      <c r="N148" s="1" t="s">
        <v>737</v>
      </c>
      <c r="O148" s="1" t="s">
        <v>31</v>
      </c>
      <c r="P148" s="1" t="s">
        <v>789</v>
      </c>
      <c r="Q148" s="1" t="s">
        <v>948</v>
      </c>
      <c r="R148" s="1" t="s">
        <v>2152</v>
      </c>
      <c r="S148" s="1" t="s">
        <v>983</v>
      </c>
      <c r="T148" s="1" t="s">
        <v>1089</v>
      </c>
      <c r="U148" s="1" t="s">
        <v>31</v>
      </c>
      <c r="V148" s="5"/>
      <c r="W148" s="5"/>
      <c r="X148" s="5"/>
      <c r="Y148" s="5"/>
      <c r="Z148" s="5"/>
    </row>
    <row r="149" ht="14.25" hidden="1" customHeight="1">
      <c r="A149" s="1" t="s">
        <v>2435</v>
      </c>
      <c r="B149" s="1">
        <v>1.1000503E7</v>
      </c>
      <c r="C149" s="1" t="str">
        <f>VLOOKUP(B149,Equipment!A$1:J$470,9,0)</f>
        <v>E</v>
      </c>
      <c r="D149" s="1" t="s">
        <v>1076</v>
      </c>
      <c r="E149" s="1">
        <v>1041.0</v>
      </c>
      <c r="F149" s="1" t="s">
        <v>2437</v>
      </c>
      <c r="G149" s="1" t="s">
        <v>68</v>
      </c>
      <c r="H149" s="1" t="s">
        <v>768</v>
      </c>
      <c r="I149" s="1" t="s">
        <v>2439</v>
      </c>
      <c r="J149" s="1" t="s">
        <v>2439</v>
      </c>
      <c r="K149" s="1" t="s">
        <v>1212</v>
      </c>
      <c r="L149" s="1" t="s">
        <v>2444</v>
      </c>
      <c r="M149" s="1" t="s">
        <v>51</v>
      </c>
      <c r="N149" s="1" t="s">
        <v>737</v>
      </c>
      <c r="O149" s="1" t="s">
        <v>31</v>
      </c>
      <c r="P149" s="1" t="s">
        <v>789</v>
      </c>
      <c r="Q149" s="1" t="s">
        <v>948</v>
      </c>
      <c r="R149" s="1" t="s">
        <v>965</v>
      </c>
      <c r="S149" s="1" t="s">
        <v>950</v>
      </c>
      <c r="T149" s="1" t="s">
        <v>2448</v>
      </c>
      <c r="U149" s="1" t="s">
        <v>31</v>
      </c>
      <c r="V149" s="5"/>
      <c r="W149" s="5"/>
      <c r="X149" s="5"/>
      <c r="Y149" s="5"/>
      <c r="Z149" s="5"/>
    </row>
    <row r="150" ht="14.25" hidden="1" customHeight="1">
      <c r="A150" s="1" t="s">
        <v>2450</v>
      </c>
      <c r="B150" s="1">
        <v>1.1000575E7</v>
      </c>
      <c r="C150" s="1" t="str">
        <f>VLOOKUP(B150,Equipment!A$1:J$470,9,0)</f>
        <v>E</v>
      </c>
      <c r="D150" s="1" t="s">
        <v>1335</v>
      </c>
      <c r="E150" s="1">
        <v>1031.0</v>
      </c>
      <c r="F150" s="1" t="s">
        <v>2455</v>
      </c>
      <c r="G150" s="1" t="s">
        <v>223</v>
      </c>
      <c r="H150" s="1" t="s">
        <v>768</v>
      </c>
      <c r="I150" s="1" t="s">
        <v>2439</v>
      </c>
      <c r="J150" s="1" t="s">
        <v>2439</v>
      </c>
      <c r="K150" s="1" t="s">
        <v>31</v>
      </c>
      <c r="L150" s="1" t="s">
        <v>1622</v>
      </c>
      <c r="M150" s="1" t="s">
        <v>51</v>
      </c>
      <c r="N150" s="1" t="s">
        <v>737</v>
      </c>
      <c r="O150" s="1" t="s">
        <v>31</v>
      </c>
      <c r="P150" s="1" t="s">
        <v>2456</v>
      </c>
      <c r="Q150" s="1" t="s">
        <v>948</v>
      </c>
      <c r="R150" s="1" t="s">
        <v>982</v>
      </c>
      <c r="S150" s="1" t="s">
        <v>983</v>
      </c>
      <c r="T150" s="1" t="s">
        <v>1338</v>
      </c>
      <c r="U150" s="1" t="s">
        <v>31</v>
      </c>
      <c r="V150" s="5"/>
      <c r="W150" s="5"/>
      <c r="X150" s="5"/>
      <c r="Y150" s="5"/>
      <c r="Z150" s="5"/>
    </row>
    <row r="151" ht="14.25" hidden="1" customHeight="1">
      <c r="A151" s="1" t="s">
        <v>2459</v>
      </c>
      <c r="B151" s="1">
        <v>1.1000835E7</v>
      </c>
      <c r="C151" s="1" t="str">
        <f>VLOOKUP(B151,Equipment!A$1:J$470,9,0)</f>
        <v>E</v>
      </c>
      <c r="D151" s="1" t="s">
        <v>1906</v>
      </c>
      <c r="E151" s="1">
        <v>2001.0</v>
      </c>
      <c r="F151" s="1" t="s">
        <v>766</v>
      </c>
      <c r="G151" s="1" t="s">
        <v>121</v>
      </c>
      <c r="H151" s="1" t="s">
        <v>768</v>
      </c>
      <c r="I151" s="1" t="s">
        <v>2439</v>
      </c>
      <c r="J151" s="1" t="s">
        <v>2439</v>
      </c>
      <c r="K151" s="1" t="s">
        <v>2439</v>
      </c>
      <c r="L151" s="1" t="s">
        <v>2467</v>
      </c>
      <c r="M151" s="1" t="s">
        <v>51</v>
      </c>
      <c r="N151" s="1" t="s">
        <v>737</v>
      </c>
      <c r="O151" s="1" t="s">
        <v>31</v>
      </c>
      <c r="P151" s="1" t="s">
        <v>1306</v>
      </c>
      <c r="Q151" s="1" t="s">
        <v>777</v>
      </c>
      <c r="R151" s="1" t="s">
        <v>121</v>
      </c>
      <c r="S151" s="1" t="s">
        <v>779</v>
      </c>
      <c r="T151" s="1" t="s">
        <v>2469</v>
      </c>
      <c r="U151" s="1" t="s">
        <v>31</v>
      </c>
      <c r="V151" s="5"/>
      <c r="W151" s="5"/>
      <c r="X151" s="5"/>
      <c r="Y151" s="5"/>
      <c r="Z151" s="5"/>
    </row>
    <row r="152" ht="14.25" hidden="1" customHeight="1">
      <c r="A152" s="1" t="s">
        <v>2472</v>
      </c>
      <c r="B152" s="1">
        <v>1.1001383E7</v>
      </c>
      <c r="C152" s="1" t="str">
        <f>VLOOKUP(B152,Equipment!A$1:J$470,9,0)</f>
        <v>E</v>
      </c>
      <c r="D152" s="1" t="s">
        <v>2474</v>
      </c>
      <c r="E152" s="1">
        <v>1002.0</v>
      </c>
      <c r="F152" s="1" t="s">
        <v>2475</v>
      </c>
      <c r="G152" s="1" t="s">
        <v>1176</v>
      </c>
      <c r="H152" s="1" t="s">
        <v>768</v>
      </c>
      <c r="I152" s="1" t="s">
        <v>2439</v>
      </c>
      <c r="J152" s="1" t="s">
        <v>2439</v>
      </c>
      <c r="K152" s="1" t="s">
        <v>2439</v>
      </c>
      <c r="L152" s="1" t="s">
        <v>1016</v>
      </c>
      <c r="M152" s="1" t="s">
        <v>51</v>
      </c>
      <c r="N152" s="1" t="s">
        <v>737</v>
      </c>
      <c r="O152" s="1" t="s">
        <v>31</v>
      </c>
      <c r="P152" s="1" t="s">
        <v>859</v>
      </c>
      <c r="Q152" s="1" t="s">
        <v>948</v>
      </c>
      <c r="R152" s="1" t="s">
        <v>2249</v>
      </c>
      <c r="S152" s="1" t="s">
        <v>1000</v>
      </c>
      <c r="T152" s="1" t="s">
        <v>1018</v>
      </c>
      <c r="U152" s="1" t="s">
        <v>31</v>
      </c>
      <c r="V152" s="5"/>
      <c r="W152" s="5"/>
      <c r="X152" s="5"/>
      <c r="Y152" s="5"/>
      <c r="Z152" s="5"/>
    </row>
    <row r="153" ht="14.25" hidden="1" customHeight="1">
      <c r="A153" s="1" t="s">
        <v>2484</v>
      </c>
      <c r="B153" s="1">
        <v>1.1001432E7</v>
      </c>
      <c r="C153" s="1" t="str">
        <f>VLOOKUP(B153,Equipment!A$1:J$470,9,0)</f>
        <v>E</v>
      </c>
      <c r="D153" s="1" t="s">
        <v>2489</v>
      </c>
      <c r="E153" s="1">
        <v>1002.0</v>
      </c>
      <c r="F153" s="1" t="s">
        <v>2491</v>
      </c>
      <c r="G153" s="1" t="s">
        <v>131</v>
      </c>
      <c r="H153" s="1" t="s">
        <v>768</v>
      </c>
      <c r="I153" s="1" t="s">
        <v>2439</v>
      </c>
      <c r="J153" s="1" t="s">
        <v>2439</v>
      </c>
      <c r="K153" s="1" t="s">
        <v>2439</v>
      </c>
      <c r="L153" s="1" t="s">
        <v>1016</v>
      </c>
      <c r="M153" s="1" t="s">
        <v>51</v>
      </c>
      <c r="N153" s="1" t="s">
        <v>737</v>
      </c>
      <c r="O153" s="1" t="s">
        <v>31</v>
      </c>
      <c r="P153" s="1" t="s">
        <v>998</v>
      </c>
      <c r="Q153" s="1" t="s">
        <v>948</v>
      </c>
      <c r="R153" s="1" t="s">
        <v>1017</v>
      </c>
      <c r="S153" s="1" t="s">
        <v>1000</v>
      </c>
      <c r="T153" s="1" t="s">
        <v>2493</v>
      </c>
      <c r="U153" s="1" t="s">
        <v>31</v>
      </c>
      <c r="V153" s="5"/>
      <c r="W153" s="5"/>
      <c r="X153" s="5"/>
      <c r="Y153" s="5"/>
      <c r="Z153" s="5"/>
    </row>
    <row r="154" ht="14.25" hidden="1" customHeight="1">
      <c r="A154" s="1" t="s">
        <v>2495</v>
      </c>
      <c r="B154" s="1">
        <v>1.1001433E7</v>
      </c>
      <c r="C154" s="1" t="str">
        <f>VLOOKUP(B154,Equipment!A$1:J$470,9,0)</f>
        <v>E</v>
      </c>
      <c r="D154" s="1" t="s">
        <v>2503</v>
      </c>
      <c r="E154" s="1">
        <v>1002.0</v>
      </c>
      <c r="F154" s="1" t="s">
        <v>2505</v>
      </c>
      <c r="G154" s="1" t="s">
        <v>131</v>
      </c>
      <c r="H154" s="1" t="s">
        <v>768</v>
      </c>
      <c r="I154" s="1" t="s">
        <v>2439</v>
      </c>
      <c r="J154" s="1" t="s">
        <v>2439</v>
      </c>
      <c r="K154" s="1" t="s">
        <v>2439</v>
      </c>
      <c r="L154" s="1" t="s">
        <v>1016</v>
      </c>
      <c r="M154" s="1" t="s">
        <v>51</v>
      </c>
      <c r="N154" s="1" t="s">
        <v>737</v>
      </c>
      <c r="O154" s="1" t="s">
        <v>31</v>
      </c>
      <c r="P154" s="1" t="s">
        <v>998</v>
      </c>
      <c r="Q154" s="1" t="s">
        <v>948</v>
      </c>
      <c r="R154" s="1" t="s">
        <v>1017</v>
      </c>
      <c r="S154" s="1" t="s">
        <v>1000</v>
      </c>
      <c r="T154" s="1" t="s">
        <v>2509</v>
      </c>
      <c r="U154" s="1" t="s">
        <v>31</v>
      </c>
      <c r="V154" s="5"/>
      <c r="W154" s="5"/>
      <c r="X154" s="5"/>
      <c r="Y154" s="5"/>
      <c r="Z154" s="5"/>
    </row>
    <row r="155" ht="14.25" hidden="1" customHeight="1">
      <c r="A155" s="1" t="s">
        <v>2510</v>
      </c>
      <c r="B155" s="1">
        <v>2.1000752E7</v>
      </c>
      <c r="C155" s="1" t="str">
        <f>VLOOKUP(B155,Equipment!A$1:J$470,9,0)</f>
        <v>#N/A</v>
      </c>
      <c r="D155" s="1" t="s">
        <v>2514</v>
      </c>
      <c r="E155" s="1">
        <v>1031.0</v>
      </c>
      <c r="F155" s="1" t="s">
        <v>2516</v>
      </c>
      <c r="G155" s="1" t="s">
        <v>1082</v>
      </c>
      <c r="H155" s="1" t="s">
        <v>768</v>
      </c>
      <c r="I155" s="1" t="s">
        <v>2439</v>
      </c>
      <c r="J155" s="1" t="s">
        <v>2439</v>
      </c>
      <c r="K155" s="1" t="s">
        <v>31</v>
      </c>
      <c r="L155" s="1" t="s">
        <v>2520</v>
      </c>
      <c r="M155" s="1" t="s">
        <v>51</v>
      </c>
      <c r="N155" s="1" t="s">
        <v>737</v>
      </c>
      <c r="O155" s="1" t="s">
        <v>31</v>
      </c>
      <c r="P155" s="1" t="s">
        <v>789</v>
      </c>
      <c r="Q155" s="1" t="s">
        <v>948</v>
      </c>
      <c r="R155" s="1" t="s">
        <v>2152</v>
      </c>
      <c r="S155" s="1" t="s">
        <v>983</v>
      </c>
      <c r="T155" s="1" t="s">
        <v>1089</v>
      </c>
      <c r="U155" s="1" t="s">
        <v>31</v>
      </c>
      <c r="V155" s="5"/>
      <c r="W155" s="5"/>
      <c r="X155" s="5"/>
      <c r="Y155" s="5"/>
      <c r="Z155" s="5"/>
    </row>
    <row r="156" ht="14.25" hidden="1" customHeight="1">
      <c r="A156" s="1" t="s">
        <v>2526</v>
      </c>
      <c r="B156" s="1">
        <v>2.1000971E7</v>
      </c>
      <c r="C156" s="1" t="str">
        <f>VLOOKUP(B156,Equipment!A$1:J$470,9,0)</f>
        <v>#N/A</v>
      </c>
      <c r="D156" s="1" t="s">
        <v>2529</v>
      </c>
      <c r="E156" s="1">
        <v>1001.0</v>
      </c>
      <c r="F156" s="1" t="s">
        <v>2530</v>
      </c>
      <c r="G156" s="1" t="s">
        <v>1132</v>
      </c>
      <c r="H156" s="1" t="s">
        <v>768</v>
      </c>
      <c r="I156" s="1" t="s">
        <v>2439</v>
      </c>
      <c r="J156" s="1" t="s">
        <v>2439</v>
      </c>
      <c r="K156" s="1" t="s">
        <v>2439</v>
      </c>
      <c r="L156" s="1" t="s">
        <v>1237</v>
      </c>
      <c r="M156" s="1" t="s">
        <v>51</v>
      </c>
      <c r="N156" s="1" t="s">
        <v>737</v>
      </c>
      <c r="O156" s="1" t="s">
        <v>31</v>
      </c>
      <c r="P156" s="1" t="s">
        <v>1655</v>
      </c>
      <c r="Q156" s="1" t="s">
        <v>948</v>
      </c>
      <c r="R156" s="1" t="s">
        <v>2301</v>
      </c>
      <c r="S156" s="1" t="s">
        <v>1139</v>
      </c>
      <c r="T156" s="1" t="s">
        <v>1140</v>
      </c>
      <c r="U156" s="1" t="s">
        <v>31</v>
      </c>
      <c r="V156" s="5"/>
      <c r="W156" s="5"/>
      <c r="X156" s="5"/>
      <c r="Y156" s="5"/>
      <c r="Z156" s="5"/>
    </row>
    <row r="157" ht="14.25" hidden="1" customHeight="1">
      <c r="A157" s="1" t="s">
        <v>2537</v>
      </c>
      <c r="B157" s="1">
        <v>1.100027E7</v>
      </c>
      <c r="C157" s="1" t="str">
        <f>VLOOKUP(B157,Equipment!A$1:J$470,9,0)</f>
        <v>E</v>
      </c>
      <c r="D157" s="1" t="s">
        <v>540</v>
      </c>
      <c r="E157" s="1">
        <v>2001.0</v>
      </c>
      <c r="F157" s="1" t="s">
        <v>785</v>
      </c>
      <c r="G157" s="1" t="s">
        <v>491</v>
      </c>
      <c r="H157" s="1" t="s">
        <v>768</v>
      </c>
      <c r="I157" s="1" t="s">
        <v>1212</v>
      </c>
      <c r="J157" s="1" t="s">
        <v>1212</v>
      </c>
      <c r="K157" s="1" t="s">
        <v>1212</v>
      </c>
      <c r="L157" s="1" t="s">
        <v>2543</v>
      </c>
      <c r="M157" s="1" t="s">
        <v>51</v>
      </c>
      <c r="N157" s="1" t="s">
        <v>737</v>
      </c>
      <c r="O157" s="1" t="s">
        <v>31</v>
      </c>
      <c r="P157" s="1" t="s">
        <v>812</v>
      </c>
      <c r="Q157" s="1" t="s">
        <v>777</v>
      </c>
      <c r="R157" s="1" t="s">
        <v>814</v>
      </c>
      <c r="S157" s="1" t="s">
        <v>779</v>
      </c>
      <c r="T157" s="1" t="s">
        <v>2546</v>
      </c>
      <c r="U157" s="1" t="s">
        <v>31</v>
      </c>
      <c r="V157" s="5"/>
      <c r="W157" s="5"/>
      <c r="X157" s="5"/>
      <c r="Y157" s="5"/>
      <c r="Z157" s="5"/>
    </row>
    <row r="158" ht="14.25" hidden="1" customHeight="1">
      <c r="A158" s="1" t="s">
        <v>2548</v>
      </c>
      <c r="B158" s="1">
        <v>1.1000272E7</v>
      </c>
      <c r="C158" s="1" t="str">
        <f>VLOOKUP(B158,Equipment!A$1:J$470,9,0)</f>
        <v>E</v>
      </c>
      <c r="D158" s="1" t="s">
        <v>555</v>
      </c>
      <c r="E158" s="1">
        <v>2001.0</v>
      </c>
      <c r="F158" s="1" t="s">
        <v>785</v>
      </c>
      <c r="G158" s="1" t="s">
        <v>491</v>
      </c>
      <c r="H158" s="1" t="s">
        <v>768</v>
      </c>
      <c r="I158" s="1" t="s">
        <v>1212</v>
      </c>
      <c r="J158" s="1" t="s">
        <v>1212</v>
      </c>
      <c r="K158" s="1" t="s">
        <v>1212</v>
      </c>
      <c r="L158" s="1" t="s">
        <v>2551</v>
      </c>
      <c r="M158" s="1" t="s">
        <v>51</v>
      </c>
      <c r="N158" s="1" t="s">
        <v>737</v>
      </c>
      <c r="O158" s="1" t="s">
        <v>31</v>
      </c>
      <c r="P158" s="1" t="s">
        <v>789</v>
      </c>
      <c r="Q158" s="1" t="s">
        <v>777</v>
      </c>
      <c r="R158" s="1" t="s">
        <v>814</v>
      </c>
      <c r="S158" s="1" t="s">
        <v>779</v>
      </c>
      <c r="T158" s="1" t="s">
        <v>2554</v>
      </c>
      <c r="U158" s="1" t="s">
        <v>31</v>
      </c>
      <c r="V158" s="5"/>
      <c r="W158" s="5"/>
      <c r="X158" s="5"/>
      <c r="Y158" s="5"/>
      <c r="Z158" s="5"/>
    </row>
    <row r="159" ht="14.25" hidden="1" customHeight="1">
      <c r="A159" s="1" t="s">
        <v>2560</v>
      </c>
      <c r="B159" s="1">
        <v>1.1000452E7</v>
      </c>
      <c r="C159" s="1" t="str">
        <f>VLOOKUP(B159,Equipment!A$1:J$470,9,0)</f>
        <v>E</v>
      </c>
      <c r="D159" s="1" t="s">
        <v>180</v>
      </c>
      <c r="E159" s="1">
        <v>1041.0</v>
      </c>
      <c r="F159" s="1" t="s">
        <v>2573</v>
      </c>
      <c r="G159" s="1" t="s">
        <v>68</v>
      </c>
      <c r="H159" s="1" t="s">
        <v>768</v>
      </c>
      <c r="I159" s="1" t="s">
        <v>1212</v>
      </c>
      <c r="J159" s="1" t="s">
        <v>1212</v>
      </c>
      <c r="K159" s="1" t="s">
        <v>2576</v>
      </c>
      <c r="L159" s="1" t="s">
        <v>2577</v>
      </c>
      <c r="M159" s="1" t="s">
        <v>51</v>
      </c>
      <c r="N159" s="1" t="s">
        <v>737</v>
      </c>
      <c r="O159" s="1" t="s">
        <v>31</v>
      </c>
      <c r="P159" s="1" t="s">
        <v>789</v>
      </c>
      <c r="Q159" s="1" t="s">
        <v>948</v>
      </c>
      <c r="R159" s="1" t="s">
        <v>965</v>
      </c>
      <c r="S159" s="1" t="s">
        <v>950</v>
      </c>
      <c r="T159" s="1" t="s">
        <v>2581</v>
      </c>
      <c r="U159" s="1" t="s">
        <v>31</v>
      </c>
      <c r="V159" s="5"/>
      <c r="W159" s="5"/>
      <c r="X159" s="5"/>
      <c r="Y159" s="5"/>
      <c r="Z159" s="5"/>
    </row>
    <row r="160" ht="14.25" hidden="1" customHeight="1">
      <c r="A160" s="1" t="s">
        <v>2582</v>
      </c>
      <c r="B160" s="1">
        <v>1.1000707E7</v>
      </c>
      <c r="C160" s="1" t="str">
        <f>VLOOKUP(B160,Equipment!A$1:J$470,9,0)</f>
        <v>E</v>
      </c>
      <c r="D160" s="1" t="s">
        <v>1560</v>
      </c>
      <c r="E160" s="1">
        <v>1002.0</v>
      </c>
      <c r="F160" s="1" t="s">
        <v>2120</v>
      </c>
      <c r="G160" s="1" t="s">
        <v>131</v>
      </c>
      <c r="H160" s="1" t="s">
        <v>768</v>
      </c>
      <c r="I160" s="1" t="s">
        <v>1212</v>
      </c>
      <c r="J160" s="1" t="s">
        <v>1212</v>
      </c>
      <c r="K160" s="1" t="s">
        <v>1212</v>
      </c>
      <c r="L160" s="1" t="s">
        <v>2587</v>
      </c>
      <c r="M160" s="1" t="s">
        <v>51</v>
      </c>
      <c r="N160" s="1" t="s">
        <v>737</v>
      </c>
      <c r="O160" s="1" t="s">
        <v>31</v>
      </c>
      <c r="P160" s="1" t="s">
        <v>850</v>
      </c>
      <c r="Q160" s="1" t="s">
        <v>948</v>
      </c>
      <c r="R160" s="1" t="s">
        <v>1286</v>
      </c>
      <c r="S160" s="1" t="s">
        <v>1000</v>
      </c>
      <c r="T160" s="1" t="s">
        <v>2591</v>
      </c>
      <c r="U160" s="1" t="s">
        <v>31</v>
      </c>
      <c r="V160" s="5"/>
      <c r="W160" s="5"/>
      <c r="X160" s="5"/>
      <c r="Y160" s="5"/>
      <c r="Z160" s="5"/>
    </row>
    <row r="161" ht="14.25" hidden="1" customHeight="1">
      <c r="A161" s="1" t="s">
        <v>2594</v>
      </c>
      <c r="B161" s="1">
        <v>1.1000809E7</v>
      </c>
      <c r="C161" s="1" t="str">
        <f>VLOOKUP(B161,Equipment!A$1:J$470,9,0)</f>
        <v>E</v>
      </c>
      <c r="D161" s="1" t="s">
        <v>1798</v>
      </c>
      <c r="E161" s="1">
        <v>1002.0</v>
      </c>
      <c r="F161" s="1" t="s">
        <v>1282</v>
      </c>
      <c r="G161" s="1" t="s">
        <v>1176</v>
      </c>
      <c r="H161" s="1" t="s">
        <v>768</v>
      </c>
      <c r="I161" s="1" t="s">
        <v>1212</v>
      </c>
      <c r="J161" s="1" t="s">
        <v>1212</v>
      </c>
      <c r="K161" s="1" t="s">
        <v>1212</v>
      </c>
      <c r="L161" s="1" t="s">
        <v>1631</v>
      </c>
      <c r="M161" s="1" t="s">
        <v>51</v>
      </c>
      <c r="N161" s="1" t="s">
        <v>737</v>
      </c>
      <c r="O161" s="1" t="s">
        <v>31</v>
      </c>
      <c r="P161" s="1" t="s">
        <v>2600</v>
      </c>
      <c r="Q161" s="1" t="s">
        <v>948</v>
      </c>
      <c r="R161" s="1" t="s">
        <v>1638</v>
      </c>
      <c r="S161" s="1" t="s">
        <v>1000</v>
      </c>
      <c r="T161" s="1" t="s">
        <v>1640</v>
      </c>
      <c r="U161" s="1" t="s">
        <v>31</v>
      </c>
      <c r="V161" s="5"/>
      <c r="W161" s="5"/>
      <c r="X161" s="5"/>
      <c r="Y161" s="5"/>
      <c r="Z161" s="5"/>
    </row>
    <row r="162" ht="14.25" hidden="1" customHeight="1">
      <c r="A162" s="1" t="s">
        <v>2605</v>
      </c>
      <c r="B162" s="1">
        <v>1.1000839E7</v>
      </c>
      <c r="C162" s="1" t="str">
        <f>VLOOKUP(B162,Equipment!A$1:J$470,9,0)</f>
        <v>E</v>
      </c>
      <c r="D162" s="1" t="s">
        <v>1922</v>
      </c>
      <c r="E162" s="1">
        <v>1002.0</v>
      </c>
      <c r="F162" s="1" t="s">
        <v>1282</v>
      </c>
      <c r="G162" s="1" t="s">
        <v>131</v>
      </c>
      <c r="H162" s="1" t="s">
        <v>768</v>
      </c>
      <c r="I162" s="1" t="s">
        <v>1212</v>
      </c>
      <c r="J162" s="1" t="s">
        <v>1212</v>
      </c>
      <c r="K162" s="1" t="s">
        <v>1212</v>
      </c>
      <c r="L162" s="1" t="s">
        <v>1269</v>
      </c>
      <c r="M162" s="1" t="s">
        <v>51</v>
      </c>
      <c r="N162" s="1" t="s">
        <v>737</v>
      </c>
      <c r="O162" s="1" t="s">
        <v>31</v>
      </c>
      <c r="P162" s="1" t="s">
        <v>1306</v>
      </c>
      <c r="Q162" s="1" t="s">
        <v>948</v>
      </c>
      <c r="R162" s="1" t="s">
        <v>1286</v>
      </c>
      <c r="S162" s="1" t="s">
        <v>1000</v>
      </c>
      <c r="T162" s="1" t="s">
        <v>1288</v>
      </c>
      <c r="U162" s="1" t="s">
        <v>31</v>
      </c>
      <c r="V162" s="5"/>
      <c r="W162" s="5"/>
      <c r="X162" s="5"/>
      <c r="Y162" s="5"/>
      <c r="Z162" s="5"/>
    </row>
    <row r="163" ht="14.25" hidden="1" customHeight="1">
      <c r="A163" s="1" t="s">
        <v>2608</v>
      </c>
      <c r="B163" s="1">
        <v>1.1001324E7</v>
      </c>
      <c r="C163" s="1" t="str">
        <f>VLOOKUP(B163,Equipment!A$1:J$470,9,0)</f>
        <v>E</v>
      </c>
      <c r="D163" s="1" t="s">
        <v>2614</v>
      </c>
      <c r="E163" s="1">
        <v>2001.0</v>
      </c>
      <c r="F163" s="1" t="s">
        <v>785</v>
      </c>
      <c r="G163" s="1" t="s">
        <v>131</v>
      </c>
      <c r="H163" s="1" t="s">
        <v>31</v>
      </c>
      <c r="I163" s="1" t="s">
        <v>1212</v>
      </c>
      <c r="J163" s="1" t="s">
        <v>1212</v>
      </c>
      <c r="K163" s="1" t="s">
        <v>1212</v>
      </c>
      <c r="L163" s="1" t="s">
        <v>2619</v>
      </c>
      <c r="M163" s="1" t="s">
        <v>51</v>
      </c>
      <c r="N163" s="1" t="s">
        <v>737</v>
      </c>
      <c r="O163" s="1" t="s">
        <v>31</v>
      </c>
      <c r="P163" s="1" t="s">
        <v>776</v>
      </c>
      <c r="Q163" s="1" t="s">
        <v>777</v>
      </c>
      <c r="R163" s="1" t="s">
        <v>131</v>
      </c>
      <c r="S163" s="1" t="s">
        <v>779</v>
      </c>
      <c r="T163" s="1" t="s">
        <v>2621</v>
      </c>
      <c r="U163" s="1" t="s">
        <v>31</v>
      </c>
      <c r="V163" s="5"/>
      <c r="W163" s="5"/>
      <c r="X163" s="5"/>
      <c r="Y163" s="5"/>
      <c r="Z163" s="5"/>
    </row>
    <row r="164" ht="14.25" hidden="1" customHeight="1">
      <c r="A164" s="1" t="s">
        <v>2622</v>
      </c>
      <c r="B164" s="1">
        <v>1.1001325E7</v>
      </c>
      <c r="C164" s="1" t="str">
        <f>VLOOKUP(B164,Equipment!A$1:J$470,9,0)</f>
        <v>E</v>
      </c>
      <c r="D164" s="1" t="s">
        <v>2627</v>
      </c>
      <c r="E164" s="1">
        <v>2001.0</v>
      </c>
      <c r="F164" s="1" t="s">
        <v>785</v>
      </c>
      <c r="G164" s="1" t="s">
        <v>131</v>
      </c>
      <c r="H164" s="1" t="s">
        <v>31</v>
      </c>
      <c r="I164" s="1" t="s">
        <v>1212</v>
      </c>
      <c r="J164" s="1" t="s">
        <v>1212</v>
      </c>
      <c r="K164" s="1" t="s">
        <v>1212</v>
      </c>
      <c r="L164" s="1" t="s">
        <v>2619</v>
      </c>
      <c r="M164" s="1" t="s">
        <v>51</v>
      </c>
      <c r="N164" s="1" t="s">
        <v>737</v>
      </c>
      <c r="O164" s="1" t="s">
        <v>31</v>
      </c>
      <c r="P164" s="1" t="s">
        <v>776</v>
      </c>
      <c r="Q164" s="1" t="s">
        <v>777</v>
      </c>
      <c r="R164" s="1" t="s">
        <v>131</v>
      </c>
      <c r="S164" s="1" t="s">
        <v>779</v>
      </c>
      <c r="T164" s="1" t="s">
        <v>2630</v>
      </c>
      <c r="U164" s="1" t="s">
        <v>31</v>
      </c>
      <c r="V164" s="5"/>
      <c r="W164" s="5"/>
      <c r="X164" s="5"/>
      <c r="Y164" s="5"/>
      <c r="Z164" s="5"/>
    </row>
    <row r="165" ht="14.25" hidden="1" customHeight="1">
      <c r="A165" s="1" t="s">
        <v>2633</v>
      </c>
      <c r="B165" s="1">
        <v>1.1001384E7</v>
      </c>
      <c r="C165" s="1" t="str">
        <f>VLOOKUP(B165,Equipment!A$1:J$470,9,0)</f>
        <v>E</v>
      </c>
      <c r="D165" s="1" t="s">
        <v>2637</v>
      </c>
      <c r="E165" s="1">
        <v>1002.0</v>
      </c>
      <c r="F165" s="1" t="s">
        <v>2638</v>
      </c>
      <c r="G165" s="1" t="s">
        <v>1176</v>
      </c>
      <c r="H165" s="1" t="s">
        <v>768</v>
      </c>
      <c r="I165" s="1" t="s">
        <v>1212</v>
      </c>
      <c r="J165" s="1" t="s">
        <v>1212</v>
      </c>
      <c r="K165" s="1" t="s">
        <v>1212</v>
      </c>
      <c r="L165" s="1" t="s">
        <v>1016</v>
      </c>
      <c r="M165" s="1" t="s">
        <v>51</v>
      </c>
      <c r="N165" s="1" t="s">
        <v>737</v>
      </c>
      <c r="O165" s="1" t="s">
        <v>31</v>
      </c>
      <c r="P165" s="1" t="s">
        <v>859</v>
      </c>
      <c r="Q165" s="1" t="s">
        <v>948</v>
      </c>
      <c r="R165" s="1" t="s">
        <v>2249</v>
      </c>
      <c r="S165" s="1" t="s">
        <v>1000</v>
      </c>
      <c r="T165" s="1" t="s">
        <v>1018</v>
      </c>
      <c r="U165" s="1" t="s">
        <v>31</v>
      </c>
      <c r="V165" s="5"/>
      <c r="W165" s="5"/>
      <c r="X165" s="5"/>
      <c r="Y165" s="5"/>
      <c r="Z165" s="5"/>
    </row>
    <row r="166" ht="14.25" hidden="1" customHeight="1">
      <c r="A166" s="1" t="s">
        <v>2641</v>
      </c>
      <c r="B166" s="1">
        <v>1.1000206E7</v>
      </c>
      <c r="C166" s="1" t="str">
        <f>VLOOKUP(B166,Equipment!A$1:J$470,9,0)</f>
        <v>E</v>
      </c>
      <c r="D166" s="1" t="s">
        <v>115</v>
      </c>
      <c r="E166" s="1">
        <v>2001.0</v>
      </c>
      <c r="F166" s="1" t="s">
        <v>785</v>
      </c>
      <c r="G166" s="1" t="s">
        <v>121</v>
      </c>
      <c r="H166" s="1" t="s">
        <v>768</v>
      </c>
      <c r="I166" s="1" t="s">
        <v>2576</v>
      </c>
      <c r="J166" s="1" t="s">
        <v>2576</v>
      </c>
      <c r="K166" s="1" t="s">
        <v>2576</v>
      </c>
      <c r="L166" s="1" t="s">
        <v>2646</v>
      </c>
      <c r="M166" s="1" t="s">
        <v>51</v>
      </c>
      <c r="N166" s="1" t="s">
        <v>737</v>
      </c>
      <c r="O166" s="1" t="s">
        <v>31</v>
      </c>
      <c r="P166" s="1" t="s">
        <v>1146</v>
      </c>
      <c r="Q166" s="1" t="s">
        <v>777</v>
      </c>
      <c r="R166" s="1" t="s">
        <v>842</v>
      </c>
      <c r="S166" s="1" t="s">
        <v>779</v>
      </c>
      <c r="T166" s="1" t="s">
        <v>2650</v>
      </c>
      <c r="U166" s="1" t="s">
        <v>31</v>
      </c>
      <c r="V166" s="5"/>
      <c r="W166" s="5"/>
      <c r="X166" s="5"/>
      <c r="Y166" s="5"/>
      <c r="Z166" s="5"/>
    </row>
    <row r="167" ht="14.25" hidden="1" customHeight="1">
      <c r="A167" s="1" t="s">
        <v>2652</v>
      </c>
      <c r="B167" s="1">
        <v>1.1000396E7</v>
      </c>
      <c r="C167" s="1" t="str">
        <f>VLOOKUP(B167,Equipment!A$1:J$470,9,0)</f>
        <v>E</v>
      </c>
      <c r="D167" s="1" t="s">
        <v>903</v>
      </c>
      <c r="E167" s="1">
        <v>1041.0</v>
      </c>
      <c r="F167" s="1" t="s">
        <v>2659</v>
      </c>
      <c r="G167" s="1" t="s">
        <v>1412</v>
      </c>
      <c r="H167" s="1" t="s">
        <v>768</v>
      </c>
      <c r="I167" s="1" t="s">
        <v>2576</v>
      </c>
      <c r="J167" s="1" t="s">
        <v>2576</v>
      </c>
      <c r="K167" s="1" t="s">
        <v>2660</v>
      </c>
      <c r="L167" s="1" t="s">
        <v>1413</v>
      </c>
      <c r="M167" s="1" t="s">
        <v>51</v>
      </c>
      <c r="N167" s="1" t="s">
        <v>737</v>
      </c>
      <c r="O167" s="1" t="s">
        <v>31</v>
      </c>
      <c r="P167" s="1" t="s">
        <v>789</v>
      </c>
      <c r="Q167" s="1" t="s">
        <v>948</v>
      </c>
      <c r="R167" s="1" t="s">
        <v>1414</v>
      </c>
      <c r="S167" s="1" t="s">
        <v>950</v>
      </c>
      <c r="T167" s="1" t="s">
        <v>1415</v>
      </c>
      <c r="U167" s="1" t="s">
        <v>31</v>
      </c>
      <c r="V167" s="5"/>
      <c r="W167" s="5"/>
      <c r="X167" s="5"/>
      <c r="Y167" s="5"/>
      <c r="Z167" s="5"/>
    </row>
    <row r="168" ht="14.25" hidden="1" customHeight="1">
      <c r="A168" s="1" t="s">
        <v>2661</v>
      </c>
      <c r="B168" s="1">
        <v>1.1000449E7</v>
      </c>
      <c r="C168" s="1" t="str">
        <f>VLOOKUP(B168,Equipment!A$1:J$470,9,0)</f>
        <v>E</v>
      </c>
      <c r="D168" s="1" t="s">
        <v>160</v>
      </c>
      <c r="E168" s="1">
        <v>1041.0</v>
      </c>
      <c r="F168" s="1" t="s">
        <v>2669</v>
      </c>
      <c r="G168" s="1" t="s">
        <v>68</v>
      </c>
      <c r="H168" s="1" t="s">
        <v>768</v>
      </c>
      <c r="I168" s="1" t="s">
        <v>2576</v>
      </c>
      <c r="J168" s="1" t="s">
        <v>2576</v>
      </c>
      <c r="K168" s="1" t="s">
        <v>2576</v>
      </c>
      <c r="L168" s="1" t="s">
        <v>1954</v>
      </c>
      <c r="M168" s="1" t="s">
        <v>51</v>
      </c>
      <c r="N168" s="1" t="s">
        <v>737</v>
      </c>
      <c r="O168" s="1" t="s">
        <v>31</v>
      </c>
      <c r="P168" s="1" t="s">
        <v>1345</v>
      </c>
      <c r="Q168" s="1" t="s">
        <v>948</v>
      </c>
      <c r="R168" s="1" t="s">
        <v>965</v>
      </c>
      <c r="S168" s="1" t="s">
        <v>950</v>
      </c>
      <c r="T168" s="1" t="s">
        <v>1956</v>
      </c>
      <c r="U168" s="1" t="s">
        <v>31</v>
      </c>
      <c r="V168" s="5"/>
      <c r="W168" s="5"/>
      <c r="X168" s="5"/>
      <c r="Y168" s="5"/>
      <c r="Z168" s="5"/>
    </row>
    <row r="169" ht="14.25" hidden="1" customHeight="1">
      <c r="A169" s="1" t="s">
        <v>2679</v>
      </c>
      <c r="B169" s="1">
        <v>1.1000493E7</v>
      </c>
      <c r="C169" s="1" t="str">
        <f>VLOOKUP(B169,Equipment!A$1:J$470,9,0)</f>
        <v>E</v>
      </c>
      <c r="D169" s="1" t="s">
        <v>206</v>
      </c>
      <c r="E169" s="1">
        <v>1041.0</v>
      </c>
      <c r="F169" s="1" t="s">
        <v>2682</v>
      </c>
      <c r="G169" s="1" t="s">
        <v>68</v>
      </c>
      <c r="H169" s="1" t="s">
        <v>768</v>
      </c>
      <c r="I169" s="1" t="s">
        <v>2576</v>
      </c>
      <c r="J169" s="1" t="s">
        <v>2576</v>
      </c>
      <c r="K169" s="1" t="s">
        <v>2660</v>
      </c>
      <c r="L169" s="1" t="s">
        <v>964</v>
      </c>
      <c r="M169" s="1" t="s">
        <v>51</v>
      </c>
      <c r="N169" s="1" t="s">
        <v>737</v>
      </c>
      <c r="O169" s="1" t="s">
        <v>31</v>
      </c>
      <c r="P169" s="1" t="s">
        <v>859</v>
      </c>
      <c r="Q169" s="1" t="s">
        <v>948</v>
      </c>
      <c r="R169" s="1" t="s">
        <v>965</v>
      </c>
      <c r="S169" s="1" t="s">
        <v>950</v>
      </c>
      <c r="T169" s="1" t="s">
        <v>967</v>
      </c>
      <c r="U169" s="1" t="s">
        <v>31</v>
      </c>
      <c r="V169" s="5"/>
      <c r="W169" s="5"/>
      <c r="X169" s="5"/>
      <c r="Y169" s="5"/>
      <c r="Z169" s="5"/>
    </row>
    <row r="170" ht="14.25" hidden="1" customHeight="1">
      <c r="A170" s="1" t="s">
        <v>31</v>
      </c>
      <c r="B170" s="1">
        <v>1.1000925E7</v>
      </c>
      <c r="C170" s="1" t="str">
        <f>VLOOKUP(B170,Equipment!A$1:J$470,9,0)</f>
        <v>E</v>
      </c>
      <c r="D170" s="1" t="s">
        <v>2075</v>
      </c>
      <c r="E170" s="1">
        <v>1201.0</v>
      </c>
      <c r="F170" s="1" t="s">
        <v>1459</v>
      </c>
      <c r="G170" s="1" t="s">
        <v>1015</v>
      </c>
      <c r="H170" s="1" t="s">
        <v>31</v>
      </c>
      <c r="I170" s="1" t="s">
        <v>2576</v>
      </c>
      <c r="J170" s="1" t="s">
        <v>2576</v>
      </c>
      <c r="K170" s="1" t="s">
        <v>31</v>
      </c>
      <c r="L170" s="1" t="s">
        <v>1460</v>
      </c>
      <c r="M170" s="1" t="s">
        <v>51</v>
      </c>
      <c r="N170" s="1" t="s">
        <v>737</v>
      </c>
      <c r="O170" s="1" t="s">
        <v>31</v>
      </c>
      <c r="P170" s="1" t="s">
        <v>1188</v>
      </c>
      <c r="Q170" s="1" t="s">
        <v>948</v>
      </c>
      <c r="R170" s="1" t="s">
        <v>1461</v>
      </c>
      <c r="S170" s="1" t="s">
        <v>1462</v>
      </c>
      <c r="T170" s="1" t="s">
        <v>31</v>
      </c>
      <c r="U170" s="1" t="s">
        <v>31</v>
      </c>
      <c r="V170" s="5"/>
      <c r="W170" s="5"/>
      <c r="X170" s="5"/>
      <c r="Y170" s="5"/>
      <c r="Z170" s="5"/>
    </row>
    <row r="171" ht="14.25" hidden="1" customHeight="1">
      <c r="A171" s="1" t="s">
        <v>31</v>
      </c>
      <c r="B171" s="1">
        <v>1.1000929E7</v>
      </c>
      <c r="C171" s="1" t="str">
        <f>VLOOKUP(B171,Equipment!A$1:J$470,9,0)</f>
        <v>E</v>
      </c>
      <c r="D171" s="1" t="s">
        <v>2091</v>
      </c>
      <c r="E171" s="1">
        <v>1201.0</v>
      </c>
      <c r="F171" s="1" t="s">
        <v>1459</v>
      </c>
      <c r="G171" s="1" t="s">
        <v>1015</v>
      </c>
      <c r="H171" s="1" t="s">
        <v>31</v>
      </c>
      <c r="I171" s="1" t="s">
        <v>2576</v>
      </c>
      <c r="J171" s="1" t="s">
        <v>2576</v>
      </c>
      <c r="K171" s="1" t="s">
        <v>31</v>
      </c>
      <c r="L171" s="1" t="s">
        <v>1460</v>
      </c>
      <c r="M171" s="1" t="s">
        <v>51</v>
      </c>
      <c r="N171" s="1" t="s">
        <v>737</v>
      </c>
      <c r="O171" s="1" t="s">
        <v>31</v>
      </c>
      <c r="P171" s="1" t="s">
        <v>1188</v>
      </c>
      <c r="Q171" s="1" t="s">
        <v>948</v>
      </c>
      <c r="R171" s="1" t="s">
        <v>1461</v>
      </c>
      <c r="S171" s="1" t="s">
        <v>1462</v>
      </c>
      <c r="T171" s="1" t="s">
        <v>31</v>
      </c>
      <c r="U171" s="1" t="s">
        <v>31</v>
      </c>
      <c r="V171" s="5"/>
      <c r="W171" s="5"/>
      <c r="X171" s="5"/>
      <c r="Y171" s="5"/>
      <c r="Z171" s="5"/>
    </row>
    <row r="172" ht="14.25" hidden="1" customHeight="1">
      <c r="A172" s="1" t="s">
        <v>2702</v>
      </c>
      <c r="B172" s="1">
        <v>1.1001252E7</v>
      </c>
      <c r="C172" s="1" t="str">
        <f>VLOOKUP(B172,Equipment!A$1:J$470,9,0)</f>
        <v>E</v>
      </c>
      <c r="D172" s="1" t="s">
        <v>718</v>
      </c>
      <c r="E172" s="1">
        <v>2001.0</v>
      </c>
      <c r="F172" s="1" t="s">
        <v>785</v>
      </c>
      <c r="G172" s="1" t="s">
        <v>491</v>
      </c>
      <c r="H172" s="1" t="s">
        <v>768</v>
      </c>
      <c r="I172" s="1" t="s">
        <v>2576</v>
      </c>
      <c r="J172" s="1" t="s">
        <v>2576</v>
      </c>
      <c r="K172" s="1" t="s">
        <v>2576</v>
      </c>
      <c r="L172" s="1" t="s">
        <v>2709</v>
      </c>
      <c r="M172" s="1" t="s">
        <v>51</v>
      </c>
      <c r="N172" s="1" t="s">
        <v>737</v>
      </c>
      <c r="O172" s="1" t="s">
        <v>31</v>
      </c>
      <c r="P172" s="1" t="s">
        <v>1637</v>
      </c>
      <c r="Q172" s="1" t="s">
        <v>777</v>
      </c>
      <c r="R172" s="1" t="s">
        <v>491</v>
      </c>
      <c r="S172" s="1" t="s">
        <v>779</v>
      </c>
      <c r="T172" s="1" t="s">
        <v>2711</v>
      </c>
      <c r="U172" s="1" t="s">
        <v>31</v>
      </c>
      <c r="V172" s="5"/>
      <c r="W172" s="5"/>
      <c r="X172" s="5"/>
      <c r="Y172" s="5"/>
      <c r="Z172" s="5"/>
    </row>
    <row r="173" ht="14.25" hidden="1" customHeight="1">
      <c r="A173" s="1" t="s">
        <v>2712</v>
      </c>
      <c r="B173" s="1">
        <v>2.1000791E7</v>
      </c>
      <c r="C173" s="1" t="str">
        <f>VLOOKUP(B173,Equipment!A$1:J$470,9,0)</f>
        <v>#N/A</v>
      </c>
      <c r="D173" s="1" t="s">
        <v>2716</v>
      </c>
      <c r="E173" s="1">
        <v>1031.0</v>
      </c>
      <c r="F173" s="1" t="s">
        <v>2717</v>
      </c>
      <c r="G173" s="1" t="s">
        <v>1082</v>
      </c>
      <c r="H173" s="1" t="s">
        <v>768</v>
      </c>
      <c r="I173" s="1" t="s">
        <v>2576</v>
      </c>
      <c r="J173" s="1" t="s">
        <v>2576</v>
      </c>
      <c r="K173" s="1" t="s">
        <v>31</v>
      </c>
      <c r="L173" s="1" t="s">
        <v>1085</v>
      </c>
      <c r="M173" s="1" t="s">
        <v>51</v>
      </c>
      <c r="N173" s="1" t="s">
        <v>737</v>
      </c>
      <c r="O173" s="1" t="s">
        <v>31</v>
      </c>
      <c r="P173" s="1" t="s">
        <v>789</v>
      </c>
      <c r="Q173" s="1" t="s">
        <v>948</v>
      </c>
      <c r="R173" s="1" t="s">
        <v>2152</v>
      </c>
      <c r="S173" s="1" t="s">
        <v>983</v>
      </c>
      <c r="T173" s="1" t="s">
        <v>1089</v>
      </c>
      <c r="U173" s="1" t="s">
        <v>31</v>
      </c>
      <c r="V173" s="5"/>
      <c r="W173" s="5"/>
      <c r="X173" s="5"/>
      <c r="Y173" s="5"/>
      <c r="Z173" s="5"/>
    </row>
    <row r="174" ht="14.25" hidden="1" customHeight="1">
      <c r="A174" s="1" t="s">
        <v>2722</v>
      </c>
      <c r="B174" s="1">
        <v>1.1000271E7</v>
      </c>
      <c r="C174" s="1" t="str">
        <f>VLOOKUP(B174,Equipment!A$1:J$470,9,0)</f>
        <v>E</v>
      </c>
      <c r="D174" s="1" t="s">
        <v>552</v>
      </c>
      <c r="E174" s="1">
        <v>2001.0</v>
      </c>
      <c r="F174" s="1" t="s">
        <v>785</v>
      </c>
      <c r="G174" s="1" t="s">
        <v>491</v>
      </c>
      <c r="H174" s="1" t="s">
        <v>768</v>
      </c>
      <c r="I174" s="1" t="s">
        <v>2660</v>
      </c>
      <c r="J174" s="1" t="s">
        <v>2660</v>
      </c>
      <c r="K174" s="1" t="s">
        <v>2660</v>
      </c>
      <c r="L174" s="1" t="s">
        <v>2723</v>
      </c>
      <c r="M174" s="1" t="s">
        <v>51</v>
      </c>
      <c r="N174" s="1" t="s">
        <v>737</v>
      </c>
      <c r="O174" s="1" t="s">
        <v>31</v>
      </c>
      <c r="P174" s="1" t="s">
        <v>789</v>
      </c>
      <c r="Q174" s="1" t="s">
        <v>777</v>
      </c>
      <c r="R174" s="1" t="s">
        <v>814</v>
      </c>
      <c r="S174" s="1" t="s">
        <v>779</v>
      </c>
      <c r="T174" s="1" t="s">
        <v>2728</v>
      </c>
      <c r="U174" s="1" t="s">
        <v>31</v>
      </c>
      <c r="V174" s="5"/>
      <c r="W174" s="5"/>
      <c r="X174" s="5"/>
      <c r="Y174" s="5"/>
      <c r="Z174" s="5"/>
    </row>
    <row r="175" ht="14.25" hidden="1" customHeight="1">
      <c r="A175" s="1" t="s">
        <v>2733</v>
      </c>
      <c r="B175" s="1">
        <v>1.1000576E7</v>
      </c>
      <c r="C175" s="1" t="str">
        <f>VLOOKUP(B175,Equipment!A$1:J$470,9,0)</f>
        <v>E</v>
      </c>
      <c r="D175" s="1" t="s">
        <v>355</v>
      </c>
      <c r="E175" s="1">
        <v>1031.0</v>
      </c>
      <c r="F175" s="1" t="s">
        <v>2736</v>
      </c>
      <c r="G175" s="1" t="s">
        <v>223</v>
      </c>
      <c r="H175" s="1" t="s">
        <v>768</v>
      </c>
      <c r="I175" s="1" t="s">
        <v>2660</v>
      </c>
      <c r="J175" s="1" t="s">
        <v>2660</v>
      </c>
      <c r="K175" s="1" t="s">
        <v>31</v>
      </c>
      <c r="L175" s="1" t="s">
        <v>1439</v>
      </c>
      <c r="M175" s="1" t="s">
        <v>51</v>
      </c>
      <c r="N175" s="1" t="s">
        <v>737</v>
      </c>
      <c r="O175" s="1" t="s">
        <v>31</v>
      </c>
      <c r="P175" s="1" t="s">
        <v>776</v>
      </c>
      <c r="Q175" s="1" t="s">
        <v>948</v>
      </c>
      <c r="R175" s="1" t="s">
        <v>982</v>
      </c>
      <c r="S175" s="1" t="s">
        <v>983</v>
      </c>
      <c r="T175" s="1" t="s">
        <v>2737</v>
      </c>
      <c r="U175" s="1" t="s">
        <v>31</v>
      </c>
      <c r="V175" s="5"/>
      <c r="W175" s="5"/>
      <c r="X175" s="5"/>
      <c r="Y175" s="5"/>
      <c r="Z175" s="5"/>
    </row>
    <row r="176" ht="14.25" hidden="1" customHeight="1">
      <c r="A176" s="1" t="s">
        <v>2738</v>
      </c>
      <c r="B176" s="1">
        <v>1.1000851E7</v>
      </c>
      <c r="C176" s="1" t="str">
        <f>VLOOKUP(B176,Equipment!A$1:J$470,9,0)</f>
        <v>E</v>
      </c>
      <c r="D176" s="1" t="s">
        <v>1971</v>
      </c>
      <c r="E176" s="1">
        <v>2001.0</v>
      </c>
      <c r="F176" s="1" t="s">
        <v>785</v>
      </c>
      <c r="G176" s="1" t="s">
        <v>131</v>
      </c>
      <c r="H176" s="1" t="s">
        <v>768</v>
      </c>
      <c r="I176" s="1" t="s">
        <v>2660</v>
      </c>
      <c r="J176" s="1" t="s">
        <v>2660</v>
      </c>
      <c r="K176" s="1" t="s">
        <v>2660</v>
      </c>
      <c r="L176" s="1" t="s">
        <v>2747</v>
      </c>
      <c r="M176" s="1" t="s">
        <v>51</v>
      </c>
      <c r="N176" s="1" t="s">
        <v>737</v>
      </c>
      <c r="O176" s="1" t="s">
        <v>31</v>
      </c>
      <c r="P176" s="1" t="s">
        <v>2749</v>
      </c>
      <c r="Q176" s="1" t="s">
        <v>777</v>
      </c>
      <c r="R176" s="1" t="s">
        <v>814</v>
      </c>
      <c r="S176" s="1" t="s">
        <v>779</v>
      </c>
      <c r="T176" s="1" t="s">
        <v>2621</v>
      </c>
      <c r="U176" s="1" t="s">
        <v>31</v>
      </c>
      <c r="V176" s="5"/>
      <c r="W176" s="5"/>
      <c r="X176" s="5"/>
      <c r="Y176" s="5"/>
      <c r="Z176" s="5"/>
    </row>
    <row r="177" ht="14.25" hidden="1" customHeight="1">
      <c r="A177" s="1" t="s">
        <v>2752</v>
      </c>
      <c r="B177" s="1">
        <v>1.1000851E7</v>
      </c>
      <c r="C177" s="1" t="str">
        <f>VLOOKUP(B177,Equipment!A$1:J$470,9,0)</f>
        <v>E</v>
      </c>
      <c r="D177" s="1" t="s">
        <v>1971</v>
      </c>
      <c r="E177" s="1">
        <v>2001.0</v>
      </c>
      <c r="F177" s="1" t="s">
        <v>846</v>
      </c>
      <c r="G177" s="1" t="s">
        <v>131</v>
      </c>
      <c r="H177" s="1" t="s">
        <v>768</v>
      </c>
      <c r="I177" s="1" t="s">
        <v>2660</v>
      </c>
      <c r="J177" s="1" t="s">
        <v>2660</v>
      </c>
      <c r="K177" s="1" t="s">
        <v>2756</v>
      </c>
      <c r="L177" s="1" t="s">
        <v>2747</v>
      </c>
      <c r="M177" s="1" t="s">
        <v>51</v>
      </c>
      <c r="N177" s="1" t="s">
        <v>737</v>
      </c>
      <c r="O177" s="1" t="s">
        <v>31</v>
      </c>
      <c r="P177" s="1" t="s">
        <v>1718</v>
      </c>
      <c r="Q177" s="1" t="s">
        <v>777</v>
      </c>
      <c r="R177" s="1" t="s">
        <v>814</v>
      </c>
      <c r="S177" s="1" t="s">
        <v>779</v>
      </c>
      <c r="T177" s="1" t="s">
        <v>2621</v>
      </c>
      <c r="U177" s="1" t="s">
        <v>31</v>
      </c>
      <c r="V177" s="5"/>
      <c r="W177" s="5"/>
      <c r="X177" s="5"/>
      <c r="Y177" s="5"/>
      <c r="Z177" s="5"/>
    </row>
    <row r="178" ht="14.25" hidden="1" customHeight="1">
      <c r="A178" s="1" t="s">
        <v>2763</v>
      </c>
      <c r="B178" s="1">
        <v>1.1000851E7</v>
      </c>
      <c r="C178" s="1" t="str">
        <f>VLOOKUP(B178,Equipment!A$1:J$470,9,0)</f>
        <v>E</v>
      </c>
      <c r="D178" s="1" t="s">
        <v>1971</v>
      </c>
      <c r="E178" s="1">
        <v>2001.0</v>
      </c>
      <c r="F178" s="1" t="s">
        <v>766</v>
      </c>
      <c r="G178" s="1" t="s">
        <v>131</v>
      </c>
      <c r="H178" s="1" t="s">
        <v>768</v>
      </c>
      <c r="I178" s="1" t="s">
        <v>2660</v>
      </c>
      <c r="J178" s="1" t="s">
        <v>2660</v>
      </c>
      <c r="K178" s="1" t="s">
        <v>2660</v>
      </c>
      <c r="L178" s="1" t="s">
        <v>2747</v>
      </c>
      <c r="M178" s="1" t="s">
        <v>51</v>
      </c>
      <c r="N178" s="1" t="s">
        <v>737</v>
      </c>
      <c r="O178" s="1" t="s">
        <v>31</v>
      </c>
      <c r="P178" s="1" t="s">
        <v>2766</v>
      </c>
      <c r="Q178" s="1" t="s">
        <v>777</v>
      </c>
      <c r="R178" s="1" t="s">
        <v>814</v>
      </c>
      <c r="S178" s="1" t="s">
        <v>779</v>
      </c>
      <c r="T178" s="1" t="s">
        <v>2621</v>
      </c>
      <c r="U178" s="1" t="s">
        <v>31</v>
      </c>
      <c r="V178" s="5"/>
      <c r="W178" s="5"/>
      <c r="X178" s="5"/>
      <c r="Y178" s="5"/>
      <c r="Z178" s="5"/>
    </row>
    <row r="179" ht="14.25" hidden="1" customHeight="1">
      <c r="A179" s="1" t="s">
        <v>31</v>
      </c>
      <c r="B179" s="1">
        <v>1.1000962E7</v>
      </c>
      <c r="C179" s="1" t="str">
        <f>VLOOKUP(B179,Equipment!A$1:J$470,9,0)</f>
        <v>E</v>
      </c>
      <c r="D179" s="1" t="s">
        <v>2200</v>
      </c>
      <c r="E179" s="1">
        <v>1201.0</v>
      </c>
      <c r="F179" s="1" t="s">
        <v>1459</v>
      </c>
      <c r="G179" s="1" t="s">
        <v>1015</v>
      </c>
      <c r="H179" s="1" t="s">
        <v>31</v>
      </c>
      <c r="I179" s="1" t="s">
        <v>2660</v>
      </c>
      <c r="J179" s="1" t="s">
        <v>2660</v>
      </c>
      <c r="K179" s="1" t="s">
        <v>31</v>
      </c>
      <c r="L179" s="1" t="s">
        <v>1460</v>
      </c>
      <c r="M179" s="1" t="s">
        <v>51</v>
      </c>
      <c r="N179" s="1" t="s">
        <v>737</v>
      </c>
      <c r="O179" s="1" t="s">
        <v>31</v>
      </c>
      <c r="P179" s="1" t="s">
        <v>1188</v>
      </c>
      <c r="Q179" s="1" t="s">
        <v>948</v>
      </c>
      <c r="R179" s="1" t="s">
        <v>1461</v>
      </c>
      <c r="S179" s="1" t="s">
        <v>1462</v>
      </c>
      <c r="T179" s="1" t="s">
        <v>31</v>
      </c>
      <c r="U179" s="1" t="s">
        <v>31</v>
      </c>
      <c r="V179" s="5"/>
      <c r="W179" s="5"/>
      <c r="X179" s="5"/>
      <c r="Y179" s="5"/>
      <c r="Z179" s="5"/>
    </row>
    <row r="180" ht="14.25" hidden="1" customHeight="1">
      <c r="A180" s="1" t="s">
        <v>2776</v>
      </c>
      <c r="B180" s="1">
        <v>2.1000757E7</v>
      </c>
      <c r="C180" s="1" t="str">
        <f>VLOOKUP(B180,Equipment!A$1:J$470,9,0)</f>
        <v>#N/A</v>
      </c>
      <c r="D180" s="1" t="s">
        <v>2780</v>
      </c>
      <c r="E180" s="1">
        <v>1031.0</v>
      </c>
      <c r="F180" s="1" t="s">
        <v>2781</v>
      </c>
      <c r="G180" s="1" t="s">
        <v>1082</v>
      </c>
      <c r="H180" s="1" t="s">
        <v>768</v>
      </c>
      <c r="I180" s="1" t="s">
        <v>2660</v>
      </c>
      <c r="J180" s="1" t="s">
        <v>2660</v>
      </c>
      <c r="K180" s="1" t="s">
        <v>31</v>
      </c>
      <c r="L180" s="1" t="s">
        <v>1085</v>
      </c>
      <c r="M180" s="1" t="s">
        <v>51</v>
      </c>
      <c r="N180" s="1" t="s">
        <v>737</v>
      </c>
      <c r="O180" s="1" t="s">
        <v>31</v>
      </c>
      <c r="P180" s="1" t="s">
        <v>776</v>
      </c>
      <c r="Q180" s="1" t="s">
        <v>948</v>
      </c>
      <c r="R180" s="1" t="s">
        <v>1869</v>
      </c>
      <c r="S180" s="1" t="s">
        <v>983</v>
      </c>
      <c r="T180" s="1" t="s">
        <v>1089</v>
      </c>
      <c r="U180" s="1" t="s">
        <v>31</v>
      </c>
      <c r="V180" s="5"/>
      <c r="W180" s="5"/>
      <c r="X180" s="5"/>
      <c r="Y180" s="5"/>
      <c r="Z180" s="5"/>
    </row>
    <row r="181" ht="14.25" customHeight="1">
      <c r="A181" s="1" t="s">
        <v>2784</v>
      </c>
      <c r="B181" s="1">
        <v>1.1000049E7</v>
      </c>
      <c r="C181" s="1" t="str">
        <f>VLOOKUP(B181,Equipment!A$1:J$470,9,0)</f>
        <v>E</v>
      </c>
      <c r="D181" s="1" t="s">
        <v>224</v>
      </c>
      <c r="E181" s="1">
        <v>2501.0</v>
      </c>
      <c r="F181" s="1" t="s">
        <v>2791</v>
      </c>
      <c r="G181" s="1" t="s">
        <v>2793</v>
      </c>
      <c r="H181" s="1" t="s">
        <v>768</v>
      </c>
      <c r="I181" s="1" t="s">
        <v>2795</v>
      </c>
      <c r="J181" s="1" t="s">
        <v>2795</v>
      </c>
      <c r="K181" s="1" t="s">
        <v>2795</v>
      </c>
      <c r="L181" s="1" t="s">
        <v>2797</v>
      </c>
      <c r="M181" s="1" t="s">
        <v>51</v>
      </c>
      <c r="N181" s="1" t="s">
        <v>737</v>
      </c>
      <c r="O181" s="1" t="s">
        <v>31</v>
      </c>
      <c r="P181" s="1" t="s">
        <v>789</v>
      </c>
      <c r="Q181" s="1" t="s">
        <v>1039</v>
      </c>
      <c r="R181" s="1" t="s">
        <v>2798</v>
      </c>
      <c r="S181" s="1" t="s">
        <v>1041</v>
      </c>
      <c r="T181" s="1" t="s">
        <v>1378</v>
      </c>
      <c r="U181" s="1" t="s">
        <v>31</v>
      </c>
      <c r="V181" s="5"/>
      <c r="W181" s="5"/>
      <c r="X181" s="5"/>
      <c r="Y181" s="5"/>
      <c r="Z181" s="5"/>
    </row>
    <row r="182" ht="14.25" hidden="1" customHeight="1">
      <c r="A182" s="1" t="s">
        <v>2801</v>
      </c>
      <c r="B182" s="1">
        <v>1.100021E7</v>
      </c>
      <c r="C182" s="1" t="str">
        <f>VLOOKUP(B182,Equipment!A$1:J$470,9,0)</f>
        <v>E</v>
      </c>
      <c r="D182" s="1" t="s">
        <v>408</v>
      </c>
      <c r="E182" s="1">
        <v>2001.0</v>
      </c>
      <c r="F182" s="1" t="s">
        <v>785</v>
      </c>
      <c r="G182" s="1" t="s">
        <v>131</v>
      </c>
      <c r="H182" s="1" t="s">
        <v>768</v>
      </c>
      <c r="I182" s="1" t="s">
        <v>2795</v>
      </c>
      <c r="J182" s="1" t="s">
        <v>2795</v>
      </c>
      <c r="K182" s="1" t="s">
        <v>2795</v>
      </c>
      <c r="L182" s="1" t="s">
        <v>2806</v>
      </c>
      <c r="M182" s="1" t="s">
        <v>51</v>
      </c>
      <c r="N182" s="1" t="s">
        <v>737</v>
      </c>
      <c r="O182" s="1" t="s">
        <v>31</v>
      </c>
      <c r="P182" s="1" t="s">
        <v>1146</v>
      </c>
      <c r="Q182" s="1" t="s">
        <v>777</v>
      </c>
      <c r="R182" s="1" t="s">
        <v>895</v>
      </c>
      <c r="S182" s="1" t="s">
        <v>779</v>
      </c>
      <c r="T182" s="1" t="s">
        <v>2809</v>
      </c>
      <c r="U182" s="1" t="s">
        <v>31</v>
      </c>
      <c r="V182" s="5"/>
      <c r="W182" s="5"/>
      <c r="X182" s="5"/>
      <c r="Y182" s="5"/>
      <c r="Z182" s="5"/>
    </row>
    <row r="183" ht="14.25" hidden="1" customHeight="1">
      <c r="A183" s="1" t="s">
        <v>2812</v>
      </c>
      <c r="B183" s="1">
        <v>1.1000565E7</v>
      </c>
      <c r="C183" s="1" t="str">
        <f>VLOOKUP(B183,Equipment!A$1:J$470,9,0)</f>
        <v>E</v>
      </c>
      <c r="D183" s="1" t="s">
        <v>1252</v>
      </c>
      <c r="E183" s="1">
        <v>1031.0</v>
      </c>
      <c r="F183" s="1" t="s">
        <v>2813</v>
      </c>
      <c r="G183" s="1" t="s">
        <v>2815</v>
      </c>
      <c r="H183" s="1" t="s">
        <v>768</v>
      </c>
      <c r="I183" s="1" t="s">
        <v>2795</v>
      </c>
      <c r="J183" s="1" t="s">
        <v>2795</v>
      </c>
      <c r="K183" s="1" t="s">
        <v>31</v>
      </c>
      <c r="L183" s="1" t="s">
        <v>2816</v>
      </c>
      <c r="M183" s="1" t="s">
        <v>51</v>
      </c>
      <c r="N183" s="1" t="s">
        <v>737</v>
      </c>
      <c r="O183" s="1" t="s">
        <v>31</v>
      </c>
      <c r="P183" s="1" t="s">
        <v>776</v>
      </c>
      <c r="Q183" s="1" t="s">
        <v>948</v>
      </c>
      <c r="R183" s="1" t="s">
        <v>2820</v>
      </c>
      <c r="S183" s="1" t="s">
        <v>983</v>
      </c>
      <c r="T183" s="1" t="s">
        <v>2822</v>
      </c>
      <c r="U183" s="1" t="s">
        <v>31</v>
      </c>
      <c r="V183" s="5"/>
      <c r="W183" s="5"/>
      <c r="X183" s="5"/>
      <c r="Y183" s="5"/>
      <c r="Z183" s="5"/>
    </row>
    <row r="184" ht="14.25" hidden="1" customHeight="1">
      <c r="A184" s="1" t="s">
        <v>2824</v>
      </c>
      <c r="B184" s="1">
        <v>1.100057E7</v>
      </c>
      <c r="C184" s="1" t="str">
        <f>VLOOKUP(B184,Equipment!A$1:J$470,9,0)</f>
        <v>E</v>
      </c>
      <c r="D184" s="1" t="s">
        <v>1294</v>
      </c>
      <c r="E184" s="1">
        <v>1031.0</v>
      </c>
      <c r="F184" s="1" t="s">
        <v>2827</v>
      </c>
      <c r="G184" s="1" t="s">
        <v>223</v>
      </c>
      <c r="H184" s="1" t="s">
        <v>768</v>
      </c>
      <c r="I184" s="1" t="s">
        <v>2795</v>
      </c>
      <c r="J184" s="1" t="s">
        <v>2795</v>
      </c>
      <c r="K184" s="1" t="s">
        <v>31</v>
      </c>
      <c r="L184" s="1" t="s">
        <v>2828</v>
      </c>
      <c r="M184" s="1" t="s">
        <v>51</v>
      </c>
      <c r="N184" s="1" t="s">
        <v>737</v>
      </c>
      <c r="O184" s="1" t="s">
        <v>31</v>
      </c>
      <c r="P184" s="1" t="s">
        <v>789</v>
      </c>
      <c r="Q184" s="1" t="s">
        <v>948</v>
      </c>
      <c r="R184" s="1" t="s">
        <v>2831</v>
      </c>
      <c r="S184" s="1" t="s">
        <v>983</v>
      </c>
      <c r="T184" s="1" t="s">
        <v>2833</v>
      </c>
      <c r="U184" s="1" t="s">
        <v>31</v>
      </c>
      <c r="V184" s="5"/>
      <c r="W184" s="5"/>
      <c r="X184" s="5"/>
      <c r="Y184" s="5"/>
      <c r="Z184" s="5"/>
    </row>
    <row r="185" ht="14.25" hidden="1" customHeight="1">
      <c r="A185" s="1" t="s">
        <v>2836</v>
      </c>
      <c r="B185" s="1">
        <v>1.100073E7</v>
      </c>
      <c r="C185" s="1" t="str">
        <f>VLOOKUP(B185,Equipment!A$1:J$470,9,0)</f>
        <v>E</v>
      </c>
      <c r="D185" s="1" t="s">
        <v>1694</v>
      </c>
      <c r="E185" s="1">
        <v>1002.0</v>
      </c>
      <c r="F185" s="1" t="s">
        <v>996</v>
      </c>
      <c r="G185" s="1" t="s">
        <v>131</v>
      </c>
      <c r="H185" s="1" t="s">
        <v>768</v>
      </c>
      <c r="I185" s="1" t="s">
        <v>2795</v>
      </c>
      <c r="J185" s="1" t="s">
        <v>2795</v>
      </c>
      <c r="K185" s="1" t="s">
        <v>2795</v>
      </c>
      <c r="L185" s="1" t="s">
        <v>1269</v>
      </c>
      <c r="M185" s="1" t="s">
        <v>51</v>
      </c>
      <c r="N185" s="1" t="s">
        <v>737</v>
      </c>
      <c r="O185" s="1" t="s">
        <v>31</v>
      </c>
      <c r="P185" s="1" t="s">
        <v>1697</v>
      </c>
      <c r="Q185" s="1" t="s">
        <v>948</v>
      </c>
      <c r="R185" s="1" t="s">
        <v>1270</v>
      </c>
      <c r="S185" s="1" t="s">
        <v>1000</v>
      </c>
      <c r="T185" s="1" t="s">
        <v>1288</v>
      </c>
      <c r="U185" s="1" t="s">
        <v>31</v>
      </c>
      <c r="V185" s="5"/>
      <c r="W185" s="5"/>
      <c r="X185" s="5"/>
      <c r="Y185" s="5"/>
      <c r="Z185" s="5"/>
    </row>
    <row r="186" ht="14.25" hidden="1" customHeight="1">
      <c r="A186" s="1" t="s">
        <v>2842</v>
      </c>
      <c r="B186" s="1">
        <v>1.1001266E7</v>
      </c>
      <c r="C186" s="1" t="str">
        <f>VLOOKUP(B186,Equipment!A$1:J$470,9,0)</f>
        <v>E</v>
      </c>
      <c r="D186" s="1" t="s">
        <v>2617</v>
      </c>
      <c r="E186" s="1">
        <v>1002.0</v>
      </c>
      <c r="F186" s="1" t="s">
        <v>1282</v>
      </c>
      <c r="G186" s="1" t="s">
        <v>131</v>
      </c>
      <c r="H186" s="1" t="s">
        <v>768</v>
      </c>
      <c r="I186" s="1" t="s">
        <v>2795</v>
      </c>
      <c r="J186" s="1" t="s">
        <v>2795</v>
      </c>
      <c r="K186" s="1" t="s">
        <v>2795</v>
      </c>
      <c r="L186" s="1" t="s">
        <v>2851</v>
      </c>
      <c r="M186" s="1" t="s">
        <v>51</v>
      </c>
      <c r="N186" s="1" t="s">
        <v>737</v>
      </c>
      <c r="O186" s="1" t="s">
        <v>31</v>
      </c>
      <c r="P186" s="1" t="s">
        <v>1306</v>
      </c>
      <c r="Q186" s="1" t="s">
        <v>948</v>
      </c>
      <c r="R186" s="1" t="s">
        <v>1286</v>
      </c>
      <c r="S186" s="1" t="s">
        <v>1000</v>
      </c>
      <c r="T186" s="1" t="s">
        <v>2854</v>
      </c>
      <c r="U186" s="1" t="s">
        <v>31</v>
      </c>
      <c r="V186" s="5"/>
      <c r="W186" s="5"/>
      <c r="X186" s="5"/>
      <c r="Y186" s="5"/>
      <c r="Z186" s="5"/>
    </row>
    <row r="187" ht="14.25" hidden="1" customHeight="1">
      <c r="A187" s="1" t="s">
        <v>2855</v>
      </c>
      <c r="B187" s="1">
        <v>1.1001273E7</v>
      </c>
      <c r="C187" s="1" t="str">
        <f>VLOOKUP(B187,Equipment!A$1:J$470,9,0)</f>
        <v>E</v>
      </c>
      <c r="D187" s="1" t="s">
        <v>2623</v>
      </c>
      <c r="E187" s="1">
        <v>1002.0</v>
      </c>
      <c r="F187" s="1" t="s">
        <v>2864</v>
      </c>
      <c r="G187" s="1" t="s">
        <v>131</v>
      </c>
      <c r="H187" s="1" t="s">
        <v>768</v>
      </c>
      <c r="I187" s="1" t="s">
        <v>2795</v>
      </c>
      <c r="J187" s="1" t="s">
        <v>2795</v>
      </c>
      <c r="K187" s="1" t="s">
        <v>2795</v>
      </c>
      <c r="L187" s="1" t="s">
        <v>2399</v>
      </c>
      <c r="M187" s="1" t="s">
        <v>51</v>
      </c>
      <c r="N187" s="1" t="s">
        <v>737</v>
      </c>
      <c r="O187" s="1" t="s">
        <v>31</v>
      </c>
      <c r="P187" s="1" t="s">
        <v>633</v>
      </c>
      <c r="Q187" s="1" t="s">
        <v>948</v>
      </c>
      <c r="R187" s="1" t="s">
        <v>999</v>
      </c>
      <c r="S187" s="1" t="s">
        <v>1000</v>
      </c>
      <c r="T187" s="1" t="s">
        <v>2400</v>
      </c>
      <c r="U187" s="1" t="s">
        <v>31</v>
      </c>
      <c r="V187" s="5"/>
      <c r="W187" s="5"/>
      <c r="X187" s="5"/>
      <c r="Y187" s="5"/>
      <c r="Z187" s="5"/>
    </row>
    <row r="188" ht="14.25" hidden="1" customHeight="1">
      <c r="A188" s="1" t="s">
        <v>2869</v>
      </c>
      <c r="B188" s="1">
        <v>1.1001352E7</v>
      </c>
      <c r="C188" s="1" t="str">
        <f>VLOOKUP(B188,Equipment!A$1:J$470,9,0)</f>
        <v>E</v>
      </c>
      <c r="D188" s="1" t="s">
        <v>2856</v>
      </c>
      <c r="E188" s="1">
        <v>1041.0</v>
      </c>
      <c r="F188" s="1" t="s">
        <v>2873</v>
      </c>
      <c r="G188" s="1" t="s">
        <v>68</v>
      </c>
      <c r="H188" s="1" t="s">
        <v>768</v>
      </c>
      <c r="I188" s="1" t="s">
        <v>2795</v>
      </c>
      <c r="J188" s="1" t="s">
        <v>2795</v>
      </c>
      <c r="K188" s="1" t="s">
        <v>1027</v>
      </c>
      <c r="L188" s="1" t="s">
        <v>2878</v>
      </c>
      <c r="M188" s="1" t="s">
        <v>51</v>
      </c>
      <c r="N188" s="1" t="s">
        <v>737</v>
      </c>
      <c r="O188" s="1" t="s">
        <v>31</v>
      </c>
      <c r="P188" s="1" t="s">
        <v>2881</v>
      </c>
      <c r="Q188" s="1" t="s">
        <v>948</v>
      </c>
      <c r="R188" s="1" t="s">
        <v>965</v>
      </c>
      <c r="S188" s="1" t="s">
        <v>950</v>
      </c>
      <c r="T188" s="1" t="s">
        <v>2882</v>
      </c>
      <c r="U188" s="1" t="s">
        <v>31</v>
      </c>
      <c r="V188" s="5"/>
      <c r="W188" s="5"/>
      <c r="X188" s="5"/>
      <c r="Y188" s="5"/>
      <c r="Z188" s="5"/>
    </row>
    <row r="189" ht="14.25" hidden="1" customHeight="1">
      <c r="A189" s="1" t="s">
        <v>2883</v>
      </c>
      <c r="B189" s="1">
        <v>2.1000087E7</v>
      </c>
      <c r="C189" s="1" t="str">
        <f>VLOOKUP(B189,Equipment!A$1:J$470,9,0)</f>
        <v>U</v>
      </c>
      <c r="D189" s="1" t="s">
        <v>2887</v>
      </c>
      <c r="E189" s="1">
        <v>2501.0</v>
      </c>
      <c r="F189" s="1" t="s">
        <v>2889</v>
      </c>
      <c r="G189" s="1" t="s">
        <v>1034</v>
      </c>
      <c r="H189" s="1" t="s">
        <v>768</v>
      </c>
      <c r="I189" s="1" t="s">
        <v>2795</v>
      </c>
      <c r="J189" s="1" t="s">
        <v>2795</v>
      </c>
      <c r="K189" s="1" t="s">
        <v>2795</v>
      </c>
      <c r="L189" s="1" t="s">
        <v>1037</v>
      </c>
      <c r="M189" s="1" t="s">
        <v>51</v>
      </c>
      <c r="N189" s="1" t="s">
        <v>737</v>
      </c>
      <c r="O189" s="1" t="s">
        <v>31</v>
      </c>
      <c r="P189" s="1" t="s">
        <v>812</v>
      </c>
      <c r="Q189" s="1" t="s">
        <v>1039</v>
      </c>
      <c r="R189" s="1" t="s">
        <v>1040</v>
      </c>
      <c r="S189" s="1" t="s">
        <v>1041</v>
      </c>
      <c r="T189" s="1" t="s">
        <v>2895</v>
      </c>
      <c r="U189" s="1" t="s">
        <v>31</v>
      </c>
      <c r="V189" s="5"/>
      <c r="W189" s="5"/>
      <c r="X189" s="5"/>
      <c r="Y189" s="5"/>
      <c r="Z189" s="5"/>
    </row>
    <row r="190" ht="14.25" hidden="1" customHeight="1">
      <c r="A190" s="1" t="s">
        <v>2896</v>
      </c>
      <c r="B190" s="1">
        <v>2.1000104E7</v>
      </c>
      <c r="C190" s="1" t="str">
        <f>VLOOKUP(B190,Equipment!A$1:J$470,9,0)</f>
        <v>U</v>
      </c>
      <c r="D190" s="1" t="s">
        <v>2900</v>
      </c>
      <c r="E190" s="1">
        <v>2501.0</v>
      </c>
      <c r="F190" s="1" t="s">
        <v>2903</v>
      </c>
      <c r="G190" s="1" t="s">
        <v>1034</v>
      </c>
      <c r="H190" s="1" t="s">
        <v>768</v>
      </c>
      <c r="I190" s="1" t="s">
        <v>2795</v>
      </c>
      <c r="J190" s="1" t="s">
        <v>2795</v>
      </c>
      <c r="K190" s="1" t="s">
        <v>2795</v>
      </c>
      <c r="L190" s="1" t="s">
        <v>1037</v>
      </c>
      <c r="M190" s="1" t="s">
        <v>51</v>
      </c>
      <c r="N190" s="1" t="s">
        <v>737</v>
      </c>
      <c r="O190" s="1" t="s">
        <v>31</v>
      </c>
      <c r="P190" s="1" t="s">
        <v>1345</v>
      </c>
      <c r="Q190" s="1" t="s">
        <v>1039</v>
      </c>
      <c r="R190" s="1" t="s">
        <v>1054</v>
      </c>
      <c r="S190" s="1" t="s">
        <v>1041</v>
      </c>
      <c r="T190" s="1" t="s">
        <v>2907</v>
      </c>
      <c r="U190" s="1" t="s">
        <v>31</v>
      </c>
      <c r="V190" s="5"/>
      <c r="W190" s="5"/>
      <c r="X190" s="5"/>
      <c r="Y190" s="5"/>
      <c r="Z190" s="5"/>
    </row>
    <row r="191" ht="14.25" hidden="1" customHeight="1">
      <c r="A191" s="1" t="s">
        <v>2910</v>
      </c>
      <c r="B191" s="1">
        <v>2.1000762E7</v>
      </c>
      <c r="C191" s="1" t="str">
        <f>VLOOKUP(B191,Equipment!A$1:J$470,9,0)</f>
        <v>#N/A</v>
      </c>
      <c r="D191" s="1" t="s">
        <v>2913</v>
      </c>
      <c r="E191" s="1">
        <v>1031.0</v>
      </c>
      <c r="F191" s="1" t="s">
        <v>2915</v>
      </c>
      <c r="G191" s="1" t="s">
        <v>1082</v>
      </c>
      <c r="H191" s="1" t="s">
        <v>768</v>
      </c>
      <c r="I191" s="1" t="s">
        <v>2795</v>
      </c>
      <c r="J191" s="1" t="s">
        <v>2795</v>
      </c>
      <c r="K191" s="1" t="s">
        <v>31</v>
      </c>
      <c r="L191" s="1" t="s">
        <v>1085</v>
      </c>
      <c r="M191" s="1" t="s">
        <v>51</v>
      </c>
      <c r="N191" s="1" t="s">
        <v>737</v>
      </c>
      <c r="O191" s="1" t="s">
        <v>31</v>
      </c>
      <c r="P191" s="1" t="s">
        <v>776</v>
      </c>
      <c r="Q191" s="1" t="s">
        <v>948</v>
      </c>
      <c r="R191" s="1" t="s">
        <v>1869</v>
      </c>
      <c r="S191" s="1" t="s">
        <v>983</v>
      </c>
      <c r="T191" s="1" t="s">
        <v>1089</v>
      </c>
      <c r="U191" s="1" t="s">
        <v>31</v>
      </c>
      <c r="V191" s="5"/>
      <c r="W191" s="5"/>
      <c r="X191" s="5"/>
      <c r="Y191" s="5"/>
      <c r="Z191" s="5"/>
    </row>
    <row r="192" ht="14.25" hidden="1" customHeight="1">
      <c r="A192" s="1" t="s">
        <v>2924</v>
      </c>
      <c r="B192" s="1">
        <v>2.1000891E7</v>
      </c>
      <c r="C192" s="1" t="str">
        <f>VLOOKUP(B192,Equipment!A$1:J$470,9,0)</f>
        <v>#N/A</v>
      </c>
      <c r="D192" s="1" t="s">
        <v>2670</v>
      </c>
      <c r="E192" s="1">
        <v>1002.0</v>
      </c>
      <c r="F192" s="1" t="s">
        <v>996</v>
      </c>
      <c r="G192" s="1" t="s">
        <v>1015</v>
      </c>
      <c r="H192" s="1" t="s">
        <v>768</v>
      </c>
      <c r="I192" s="1" t="s">
        <v>2795</v>
      </c>
      <c r="J192" s="1" t="s">
        <v>2795</v>
      </c>
      <c r="K192" s="1" t="s">
        <v>2795</v>
      </c>
      <c r="L192" s="1" t="s">
        <v>2926</v>
      </c>
      <c r="M192" s="1" t="s">
        <v>51</v>
      </c>
      <c r="N192" s="1" t="s">
        <v>737</v>
      </c>
      <c r="O192" s="1" t="s">
        <v>31</v>
      </c>
      <c r="P192" s="1" t="s">
        <v>998</v>
      </c>
      <c r="Q192" s="1" t="s">
        <v>948</v>
      </c>
      <c r="R192" s="1" t="s">
        <v>1638</v>
      </c>
      <c r="S192" s="1" t="s">
        <v>1000</v>
      </c>
      <c r="T192" s="1" t="s">
        <v>1018</v>
      </c>
      <c r="U192" s="1" t="s">
        <v>31</v>
      </c>
      <c r="V192" s="5"/>
      <c r="W192" s="5"/>
      <c r="X192" s="5"/>
      <c r="Y192" s="5"/>
      <c r="Z192" s="5"/>
    </row>
    <row r="193" ht="14.25" hidden="1" customHeight="1">
      <c r="A193" s="1" t="s">
        <v>2931</v>
      </c>
      <c r="B193" s="1">
        <v>1.1000031E7</v>
      </c>
      <c r="C193" s="1" t="str">
        <f>VLOOKUP(B193,Equipment!A$1:J$470,9,0)</f>
        <v>E</v>
      </c>
      <c r="D193" s="1" t="s">
        <v>176</v>
      </c>
      <c r="E193" s="1">
        <v>1001.0</v>
      </c>
      <c r="F193" s="1" t="s">
        <v>1854</v>
      </c>
      <c r="G193" s="1" t="s">
        <v>2940</v>
      </c>
      <c r="H193" s="1" t="s">
        <v>768</v>
      </c>
      <c r="I193" s="1" t="s">
        <v>1027</v>
      </c>
      <c r="J193" s="1" t="s">
        <v>1027</v>
      </c>
      <c r="K193" s="1" t="s">
        <v>1027</v>
      </c>
      <c r="L193" s="1" t="s">
        <v>2944</v>
      </c>
      <c r="M193" s="1" t="s">
        <v>51</v>
      </c>
      <c r="N193" s="1" t="s">
        <v>737</v>
      </c>
      <c r="O193" s="1" t="s">
        <v>31</v>
      </c>
      <c r="P193" s="1" t="s">
        <v>789</v>
      </c>
      <c r="Q193" s="1" t="s">
        <v>948</v>
      </c>
      <c r="R193" s="1" t="s">
        <v>1241</v>
      </c>
      <c r="S193" s="1" t="s">
        <v>1139</v>
      </c>
      <c r="T193" s="1" t="s">
        <v>1140</v>
      </c>
      <c r="U193" s="1" t="s">
        <v>31</v>
      </c>
      <c r="V193" s="5"/>
      <c r="W193" s="5"/>
      <c r="X193" s="5"/>
      <c r="Y193" s="5"/>
      <c r="Z193" s="5"/>
    </row>
    <row r="194" ht="14.25" hidden="1" customHeight="1">
      <c r="A194" s="1" t="s">
        <v>2947</v>
      </c>
      <c r="B194" s="1">
        <v>1.1000209E7</v>
      </c>
      <c r="C194" s="1" t="str">
        <f>VLOOKUP(B194,Equipment!A$1:J$470,9,0)</f>
        <v>E</v>
      </c>
      <c r="D194" s="1" t="s">
        <v>404</v>
      </c>
      <c r="E194" s="1">
        <v>2001.0</v>
      </c>
      <c r="F194" s="1" t="s">
        <v>785</v>
      </c>
      <c r="G194" s="1" t="s">
        <v>131</v>
      </c>
      <c r="H194" s="1" t="s">
        <v>768</v>
      </c>
      <c r="I194" s="1" t="s">
        <v>1027</v>
      </c>
      <c r="J194" s="1" t="s">
        <v>1027</v>
      </c>
      <c r="K194" s="1" t="s">
        <v>1027</v>
      </c>
      <c r="L194" s="1" t="s">
        <v>2961</v>
      </c>
      <c r="M194" s="1" t="s">
        <v>51</v>
      </c>
      <c r="N194" s="1" t="s">
        <v>737</v>
      </c>
      <c r="O194" s="1" t="s">
        <v>31</v>
      </c>
      <c r="P194" s="1" t="s">
        <v>1345</v>
      </c>
      <c r="Q194" s="1" t="s">
        <v>777</v>
      </c>
      <c r="R194" s="1" t="s">
        <v>874</v>
      </c>
      <c r="S194" s="1" t="s">
        <v>779</v>
      </c>
      <c r="T194" s="1" t="s">
        <v>2965</v>
      </c>
      <c r="U194" s="1" t="s">
        <v>31</v>
      </c>
      <c r="V194" s="5"/>
      <c r="W194" s="5"/>
      <c r="X194" s="5"/>
      <c r="Y194" s="5"/>
      <c r="Z194" s="5"/>
    </row>
    <row r="195" ht="14.25" hidden="1" customHeight="1">
      <c r="A195" s="1" t="s">
        <v>2967</v>
      </c>
      <c r="B195" s="1">
        <v>1.1000209E7</v>
      </c>
      <c r="C195" s="1" t="str">
        <f>VLOOKUP(B195,Equipment!A$1:J$470,9,0)</f>
        <v>E</v>
      </c>
      <c r="D195" s="1" t="s">
        <v>404</v>
      </c>
      <c r="E195" s="1">
        <v>2001.0</v>
      </c>
      <c r="F195" s="1" t="s">
        <v>846</v>
      </c>
      <c r="G195" s="1" t="s">
        <v>131</v>
      </c>
      <c r="H195" s="1" t="s">
        <v>768</v>
      </c>
      <c r="I195" s="1" t="s">
        <v>1027</v>
      </c>
      <c r="J195" s="1" t="s">
        <v>1027</v>
      </c>
      <c r="K195" s="1" t="s">
        <v>1027</v>
      </c>
      <c r="L195" s="1" t="s">
        <v>2961</v>
      </c>
      <c r="M195" s="1" t="s">
        <v>51</v>
      </c>
      <c r="N195" s="1" t="s">
        <v>737</v>
      </c>
      <c r="O195" s="1" t="s">
        <v>31</v>
      </c>
      <c r="P195" s="1" t="s">
        <v>850</v>
      </c>
      <c r="Q195" s="1" t="s">
        <v>777</v>
      </c>
      <c r="R195" s="1" t="s">
        <v>874</v>
      </c>
      <c r="S195" s="1" t="s">
        <v>779</v>
      </c>
      <c r="T195" s="1" t="s">
        <v>2965</v>
      </c>
      <c r="U195" s="1" t="s">
        <v>31</v>
      </c>
      <c r="V195" s="5"/>
      <c r="W195" s="5"/>
      <c r="X195" s="5"/>
      <c r="Y195" s="5"/>
      <c r="Z195" s="5"/>
    </row>
    <row r="196" ht="14.25" hidden="1" customHeight="1">
      <c r="A196" s="1" t="s">
        <v>2975</v>
      </c>
      <c r="B196" s="1">
        <v>1.1000317E7</v>
      </c>
      <c r="C196" s="1" t="str">
        <f>VLOOKUP(B196,Equipment!A$1:J$470,9,0)</f>
        <v>E</v>
      </c>
      <c r="D196" s="1" t="s">
        <v>674</v>
      </c>
      <c r="E196" s="1">
        <v>2001.0</v>
      </c>
      <c r="F196" s="1" t="s">
        <v>857</v>
      </c>
      <c r="G196" s="1" t="s">
        <v>491</v>
      </c>
      <c r="H196" s="1" t="s">
        <v>768</v>
      </c>
      <c r="I196" s="1" t="s">
        <v>1027</v>
      </c>
      <c r="J196" s="1" t="s">
        <v>1027</v>
      </c>
      <c r="K196" s="1" t="s">
        <v>1027</v>
      </c>
      <c r="L196" s="1" t="s">
        <v>2981</v>
      </c>
      <c r="M196" s="1" t="s">
        <v>51</v>
      </c>
      <c r="N196" s="1" t="s">
        <v>737</v>
      </c>
      <c r="O196" s="1" t="s">
        <v>31</v>
      </c>
      <c r="P196" s="1" t="s">
        <v>859</v>
      </c>
      <c r="Q196" s="1" t="s">
        <v>777</v>
      </c>
      <c r="R196" s="1" t="s">
        <v>895</v>
      </c>
      <c r="S196" s="1" t="s">
        <v>779</v>
      </c>
      <c r="T196" s="1" t="s">
        <v>2984</v>
      </c>
      <c r="U196" s="1" t="s">
        <v>31</v>
      </c>
      <c r="V196" s="5"/>
      <c r="W196" s="5"/>
      <c r="X196" s="5"/>
      <c r="Y196" s="5"/>
      <c r="Z196" s="5"/>
    </row>
    <row r="197" ht="14.25" hidden="1" customHeight="1">
      <c r="A197" s="1" t="s">
        <v>2987</v>
      </c>
      <c r="B197" s="1">
        <v>1.1000317E7</v>
      </c>
      <c r="C197" s="1" t="str">
        <f>VLOOKUP(B197,Equipment!A$1:J$470,9,0)</f>
        <v>E</v>
      </c>
      <c r="D197" s="1" t="s">
        <v>674</v>
      </c>
      <c r="E197" s="1">
        <v>2001.0</v>
      </c>
      <c r="F197" s="1" t="s">
        <v>785</v>
      </c>
      <c r="G197" s="1" t="s">
        <v>491</v>
      </c>
      <c r="H197" s="1" t="s">
        <v>768</v>
      </c>
      <c r="I197" s="1" t="s">
        <v>1027</v>
      </c>
      <c r="J197" s="1" t="s">
        <v>1027</v>
      </c>
      <c r="K197" s="1" t="s">
        <v>1027</v>
      </c>
      <c r="L197" s="1" t="s">
        <v>2981</v>
      </c>
      <c r="M197" s="1" t="s">
        <v>51</v>
      </c>
      <c r="N197" s="1" t="s">
        <v>737</v>
      </c>
      <c r="O197" s="1" t="s">
        <v>31</v>
      </c>
      <c r="P197" s="1" t="s">
        <v>812</v>
      </c>
      <c r="Q197" s="1" t="s">
        <v>777</v>
      </c>
      <c r="R197" s="1" t="s">
        <v>895</v>
      </c>
      <c r="S197" s="1" t="s">
        <v>779</v>
      </c>
      <c r="T197" s="1" t="s">
        <v>2984</v>
      </c>
      <c r="U197" s="1" t="s">
        <v>31</v>
      </c>
      <c r="V197" s="5"/>
      <c r="W197" s="5"/>
      <c r="X197" s="5"/>
      <c r="Y197" s="5"/>
      <c r="Z197" s="5"/>
    </row>
    <row r="198" ht="14.25" hidden="1" customHeight="1">
      <c r="A198" s="1" t="s">
        <v>2992</v>
      </c>
      <c r="B198" s="1">
        <v>1.1000317E7</v>
      </c>
      <c r="C198" s="1" t="str">
        <f>VLOOKUP(B198,Equipment!A$1:J$470,9,0)</f>
        <v>E</v>
      </c>
      <c r="D198" s="1" t="s">
        <v>674</v>
      </c>
      <c r="E198" s="1">
        <v>2001.0</v>
      </c>
      <c r="F198" s="1" t="s">
        <v>846</v>
      </c>
      <c r="G198" s="1" t="s">
        <v>491</v>
      </c>
      <c r="H198" s="1" t="s">
        <v>768</v>
      </c>
      <c r="I198" s="1" t="s">
        <v>1027</v>
      </c>
      <c r="J198" s="1" t="s">
        <v>1027</v>
      </c>
      <c r="K198" s="1" t="s">
        <v>1027</v>
      </c>
      <c r="L198" s="1" t="s">
        <v>2981</v>
      </c>
      <c r="M198" s="1" t="s">
        <v>51</v>
      </c>
      <c r="N198" s="1" t="s">
        <v>737</v>
      </c>
      <c r="O198" s="1" t="s">
        <v>31</v>
      </c>
      <c r="P198" s="1" t="s">
        <v>1086</v>
      </c>
      <c r="Q198" s="1" t="s">
        <v>777</v>
      </c>
      <c r="R198" s="1" t="s">
        <v>895</v>
      </c>
      <c r="S198" s="1" t="s">
        <v>779</v>
      </c>
      <c r="T198" s="1" t="s">
        <v>2984</v>
      </c>
      <c r="U198" s="1" t="s">
        <v>31</v>
      </c>
      <c r="V198" s="5"/>
      <c r="W198" s="5"/>
      <c r="X198" s="5"/>
      <c r="Y198" s="5"/>
      <c r="Z198" s="5"/>
    </row>
    <row r="199" ht="14.25" hidden="1" customHeight="1">
      <c r="A199" s="1" t="s">
        <v>3003</v>
      </c>
      <c r="B199" s="1">
        <v>1.1000317E7</v>
      </c>
      <c r="C199" s="1" t="str">
        <f>VLOOKUP(B199,Equipment!A$1:J$470,9,0)</f>
        <v>E</v>
      </c>
      <c r="D199" s="1" t="s">
        <v>674</v>
      </c>
      <c r="E199" s="1">
        <v>2001.0</v>
      </c>
      <c r="F199" s="1" t="s">
        <v>766</v>
      </c>
      <c r="G199" s="1" t="s">
        <v>491</v>
      </c>
      <c r="H199" s="1" t="s">
        <v>768</v>
      </c>
      <c r="I199" s="1" t="s">
        <v>1027</v>
      </c>
      <c r="J199" s="1" t="s">
        <v>1027</v>
      </c>
      <c r="K199" s="1" t="s">
        <v>1027</v>
      </c>
      <c r="L199" s="1" t="s">
        <v>2981</v>
      </c>
      <c r="M199" s="1" t="s">
        <v>51</v>
      </c>
      <c r="N199" s="1" t="s">
        <v>737</v>
      </c>
      <c r="O199" s="1" t="s">
        <v>31</v>
      </c>
      <c r="P199" s="1" t="s">
        <v>1655</v>
      </c>
      <c r="Q199" s="1" t="s">
        <v>777</v>
      </c>
      <c r="R199" s="1" t="s">
        <v>895</v>
      </c>
      <c r="S199" s="1" t="s">
        <v>779</v>
      </c>
      <c r="T199" s="1" t="s">
        <v>2984</v>
      </c>
      <c r="U199" s="1" t="s">
        <v>31</v>
      </c>
      <c r="V199" s="5"/>
      <c r="W199" s="5"/>
      <c r="X199" s="5"/>
      <c r="Y199" s="5"/>
      <c r="Z199" s="5"/>
    </row>
    <row r="200" ht="14.25" hidden="1" customHeight="1">
      <c r="A200" s="1" t="s">
        <v>3006</v>
      </c>
      <c r="B200" s="1">
        <v>1.100045E7</v>
      </c>
      <c r="C200" s="1" t="str">
        <f>VLOOKUP(B200,Equipment!A$1:J$470,9,0)</f>
        <v>E</v>
      </c>
      <c r="D200" s="1" t="s">
        <v>945</v>
      </c>
      <c r="E200" s="1">
        <v>1041.0</v>
      </c>
      <c r="F200" s="1" t="s">
        <v>3012</v>
      </c>
      <c r="G200" s="1" t="s">
        <v>68</v>
      </c>
      <c r="H200" s="1" t="s">
        <v>768</v>
      </c>
      <c r="I200" s="1" t="s">
        <v>1027</v>
      </c>
      <c r="J200" s="1" t="s">
        <v>1027</v>
      </c>
      <c r="K200" s="1" t="s">
        <v>2685</v>
      </c>
      <c r="L200" s="1" t="s">
        <v>1954</v>
      </c>
      <c r="M200" s="1" t="s">
        <v>51</v>
      </c>
      <c r="N200" s="1" t="s">
        <v>737</v>
      </c>
      <c r="O200" s="1" t="s">
        <v>31</v>
      </c>
      <c r="P200" s="1" t="s">
        <v>2881</v>
      </c>
      <c r="Q200" s="1" t="s">
        <v>948</v>
      </c>
      <c r="R200" s="1" t="s">
        <v>965</v>
      </c>
      <c r="S200" s="1" t="s">
        <v>950</v>
      </c>
      <c r="T200" s="1" t="s">
        <v>1956</v>
      </c>
      <c r="U200" s="1" t="s">
        <v>31</v>
      </c>
      <c r="V200" s="5"/>
      <c r="W200" s="5"/>
      <c r="X200" s="5"/>
      <c r="Y200" s="5"/>
      <c r="Z200" s="5"/>
    </row>
    <row r="201" ht="14.25" hidden="1" customHeight="1">
      <c r="A201" s="1" t="s">
        <v>3015</v>
      </c>
      <c r="B201" s="1">
        <v>1.1000451E7</v>
      </c>
      <c r="C201" s="1" t="str">
        <f>VLOOKUP(B201,Equipment!A$1:J$470,9,0)</f>
        <v>E</v>
      </c>
      <c r="D201" s="1" t="s">
        <v>959</v>
      </c>
      <c r="E201" s="1">
        <v>1041.0</v>
      </c>
      <c r="F201" s="1" t="s">
        <v>3020</v>
      </c>
      <c r="G201" s="1" t="s">
        <v>68</v>
      </c>
      <c r="H201" s="1" t="s">
        <v>768</v>
      </c>
      <c r="I201" s="1" t="s">
        <v>1027</v>
      </c>
      <c r="J201" s="1" t="s">
        <v>1027</v>
      </c>
      <c r="K201" s="1" t="s">
        <v>2685</v>
      </c>
      <c r="L201" s="1" t="s">
        <v>1954</v>
      </c>
      <c r="M201" s="1" t="s">
        <v>51</v>
      </c>
      <c r="N201" s="1" t="s">
        <v>737</v>
      </c>
      <c r="O201" s="1" t="s">
        <v>31</v>
      </c>
      <c r="P201" s="1" t="s">
        <v>2881</v>
      </c>
      <c r="Q201" s="1" t="s">
        <v>948</v>
      </c>
      <c r="R201" s="1" t="s">
        <v>965</v>
      </c>
      <c r="S201" s="1" t="s">
        <v>950</v>
      </c>
      <c r="T201" s="1" t="s">
        <v>1956</v>
      </c>
      <c r="U201" s="1" t="s">
        <v>31</v>
      </c>
      <c r="V201" s="5"/>
      <c r="W201" s="5"/>
      <c r="X201" s="5"/>
      <c r="Y201" s="5"/>
      <c r="Z201" s="5"/>
    </row>
    <row r="202" ht="14.25" hidden="1" customHeight="1">
      <c r="A202" s="1" t="s">
        <v>3025</v>
      </c>
      <c r="B202" s="1">
        <v>1.1000455E7</v>
      </c>
      <c r="C202" s="1" t="str">
        <f>VLOOKUP(B202,Equipment!A$1:J$470,9,0)</f>
        <v>E</v>
      </c>
      <c r="D202" s="1" t="s">
        <v>81</v>
      </c>
      <c r="E202" s="1">
        <v>1041.0</v>
      </c>
      <c r="F202" s="1" t="s">
        <v>3030</v>
      </c>
      <c r="G202" s="1" t="s">
        <v>68</v>
      </c>
      <c r="H202" s="1" t="s">
        <v>768</v>
      </c>
      <c r="I202" s="1" t="s">
        <v>1027</v>
      </c>
      <c r="J202" s="1" t="s">
        <v>1027</v>
      </c>
      <c r="K202" s="1" t="s">
        <v>2758</v>
      </c>
      <c r="L202" s="1" t="s">
        <v>2198</v>
      </c>
      <c r="M202" s="1" t="s">
        <v>51</v>
      </c>
      <c r="N202" s="1" t="s">
        <v>737</v>
      </c>
      <c r="O202" s="1" t="s">
        <v>31</v>
      </c>
      <c r="P202" s="1" t="s">
        <v>2881</v>
      </c>
      <c r="Q202" s="1" t="s">
        <v>948</v>
      </c>
      <c r="R202" s="1" t="s">
        <v>965</v>
      </c>
      <c r="S202" s="1" t="s">
        <v>950</v>
      </c>
      <c r="T202" s="1" t="s">
        <v>2199</v>
      </c>
      <c r="U202" s="1" t="s">
        <v>31</v>
      </c>
      <c r="V202" s="5"/>
      <c r="W202" s="5"/>
      <c r="X202" s="5"/>
      <c r="Y202" s="5"/>
      <c r="Z202" s="5"/>
    </row>
    <row r="203" ht="14.25" hidden="1" customHeight="1">
      <c r="A203" s="1" t="s">
        <v>31</v>
      </c>
      <c r="B203" s="1">
        <v>1.1000963E7</v>
      </c>
      <c r="C203" s="1" t="str">
        <f>VLOOKUP(B203,Equipment!A$1:J$470,9,0)</f>
        <v>E</v>
      </c>
      <c r="D203" s="1" t="s">
        <v>2203</v>
      </c>
      <c r="E203" s="1">
        <v>1201.0</v>
      </c>
      <c r="F203" s="1" t="s">
        <v>1459</v>
      </c>
      <c r="G203" s="1" t="s">
        <v>1015</v>
      </c>
      <c r="H203" s="1" t="s">
        <v>31</v>
      </c>
      <c r="I203" s="1" t="s">
        <v>1027</v>
      </c>
      <c r="J203" s="1" t="s">
        <v>1027</v>
      </c>
      <c r="K203" s="1" t="s">
        <v>31</v>
      </c>
      <c r="L203" s="1" t="s">
        <v>1460</v>
      </c>
      <c r="M203" s="1" t="s">
        <v>51</v>
      </c>
      <c r="N203" s="1" t="s">
        <v>737</v>
      </c>
      <c r="O203" s="1" t="s">
        <v>31</v>
      </c>
      <c r="P203" s="1" t="s">
        <v>1188</v>
      </c>
      <c r="Q203" s="1" t="s">
        <v>948</v>
      </c>
      <c r="R203" s="1" t="s">
        <v>1461</v>
      </c>
      <c r="S203" s="1" t="s">
        <v>1462</v>
      </c>
      <c r="T203" s="1" t="s">
        <v>31</v>
      </c>
      <c r="U203" s="1" t="s">
        <v>31</v>
      </c>
      <c r="V203" s="5"/>
      <c r="W203" s="5"/>
      <c r="X203" s="5"/>
      <c r="Y203" s="5"/>
      <c r="Z203" s="5"/>
    </row>
    <row r="204" ht="14.25" hidden="1" customHeight="1">
      <c r="A204" s="1" t="s">
        <v>3037</v>
      </c>
      <c r="B204" s="1">
        <v>2.1000758E7</v>
      </c>
      <c r="C204" s="1" t="str">
        <f>VLOOKUP(B204,Equipment!A$1:J$470,9,0)</f>
        <v>#N/A</v>
      </c>
      <c r="D204" s="1" t="s">
        <v>3043</v>
      </c>
      <c r="E204" s="1">
        <v>1031.0</v>
      </c>
      <c r="F204" s="1" t="s">
        <v>3044</v>
      </c>
      <c r="G204" s="1" t="s">
        <v>1082</v>
      </c>
      <c r="H204" s="1" t="s">
        <v>768</v>
      </c>
      <c r="I204" s="1" t="s">
        <v>1027</v>
      </c>
      <c r="J204" s="1" t="s">
        <v>1027</v>
      </c>
      <c r="K204" s="1" t="s">
        <v>1027</v>
      </c>
      <c r="L204" s="1" t="s">
        <v>981</v>
      </c>
      <c r="M204" s="1" t="s">
        <v>51</v>
      </c>
      <c r="N204" s="1" t="s">
        <v>737</v>
      </c>
      <c r="O204" s="1" t="s">
        <v>31</v>
      </c>
      <c r="P204" s="1" t="s">
        <v>789</v>
      </c>
      <c r="Q204" s="1" t="s">
        <v>948</v>
      </c>
      <c r="R204" s="1" t="s">
        <v>2152</v>
      </c>
      <c r="S204" s="1" t="s">
        <v>983</v>
      </c>
      <c r="T204" s="1" t="s">
        <v>1089</v>
      </c>
      <c r="U204" s="1" t="s">
        <v>31</v>
      </c>
      <c r="V204" s="5"/>
      <c r="W204" s="5"/>
      <c r="X204" s="5"/>
      <c r="Y204" s="5"/>
      <c r="Z204" s="5"/>
    </row>
    <row r="205" ht="14.25" hidden="1" customHeight="1">
      <c r="A205" s="1" t="s">
        <v>3046</v>
      </c>
      <c r="B205" s="1">
        <v>2.1001018E7</v>
      </c>
      <c r="C205" s="1" t="str">
        <f>VLOOKUP(B205,Equipment!A$1:J$470,9,0)</f>
        <v>#N/A</v>
      </c>
      <c r="D205" s="1" t="s">
        <v>3050</v>
      </c>
      <c r="E205" s="1">
        <v>1004.0</v>
      </c>
      <c r="F205" s="1" t="s">
        <v>3051</v>
      </c>
      <c r="G205" s="1" t="s">
        <v>2793</v>
      </c>
      <c r="H205" s="1" t="s">
        <v>768</v>
      </c>
      <c r="I205" s="1" t="s">
        <v>1027</v>
      </c>
      <c r="J205" s="1" t="s">
        <v>2758</v>
      </c>
      <c r="K205" s="1" t="s">
        <v>1027</v>
      </c>
      <c r="L205" s="1" t="s">
        <v>1213</v>
      </c>
      <c r="M205" s="1" t="s">
        <v>51</v>
      </c>
      <c r="N205" s="1" t="s">
        <v>737</v>
      </c>
      <c r="O205" s="1" t="s">
        <v>31</v>
      </c>
      <c r="P205" s="1" t="s">
        <v>1215</v>
      </c>
      <c r="Q205" s="1" t="s">
        <v>948</v>
      </c>
      <c r="R205" s="1" t="s">
        <v>3056</v>
      </c>
      <c r="S205" s="1" t="s">
        <v>1220</v>
      </c>
      <c r="T205" s="1" t="s">
        <v>1222</v>
      </c>
      <c r="U205" s="1" t="s">
        <v>31</v>
      </c>
      <c r="V205" s="5"/>
      <c r="W205" s="5"/>
      <c r="X205" s="5"/>
      <c r="Y205" s="5"/>
      <c r="Z205" s="5"/>
    </row>
    <row r="206" ht="14.25" hidden="1" customHeight="1">
      <c r="A206" s="1" t="s">
        <v>3058</v>
      </c>
      <c r="B206" s="1">
        <v>2.1001019E7</v>
      </c>
      <c r="C206" s="1" t="str">
        <f>VLOOKUP(B206,Equipment!A$1:J$470,9,0)</f>
        <v>#N/A</v>
      </c>
      <c r="D206" s="1" t="s">
        <v>3063</v>
      </c>
      <c r="E206" s="1">
        <v>1004.0</v>
      </c>
      <c r="F206" s="1" t="s">
        <v>3066</v>
      </c>
      <c r="G206" s="1" t="s">
        <v>2793</v>
      </c>
      <c r="H206" s="1" t="s">
        <v>768</v>
      </c>
      <c r="I206" s="1" t="s">
        <v>1027</v>
      </c>
      <c r="J206" s="1" t="s">
        <v>2758</v>
      </c>
      <c r="K206" s="1" t="s">
        <v>1027</v>
      </c>
      <c r="L206" s="1" t="s">
        <v>1213</v>
      </c>
      <c r="M206" s="1" t="s">
        <v>51</v>
      </c>
      <c r="N206" s="1" t="s">
        <v>737</v>
      </c>
      <c r="O206" s="1" t="s">
        <v>31</v>
      </c>
      <c r="P206" s="1" t="s">
        <v>1215</v>
      </c>
      <c r="Q206" s="1" t="s">
        <v>948</v>
      </c>
      <c r="R206" s="1" t="s">
        <v>3056</v>
      </c>
      <c r="S206" s="1" t="s">
        <v>1220</v>
      </c>
      <c r="T206" s="1" t="s">
        <v>1222</v>
      </c>
      <c r="U206" s="1" t="s">
        <v>31</v>
      </c>
      <c r="V206" s="5"/>
      <c r="W206" s="5"/>
      <c r="X206" s="5"/>
      <c r="Y206" s="5"/>
      <c r="Z206" s="5"/>
    </row>
    <row r="207" ht="14.25" customHeight="1">
      <c r="A207" s="1" t="s">
        <v>3068</v>
      </c>
      <c r="B207" s="1">
        <v>1.1000043E7</v>
      </c>
      <c r="C207" s="1" t="str">
        <f>VLOOKUP(B207,Equipment!A$1:J$470,9,0)</f>
        <v>E</v>
      </c>
      <c r="D207" s="1" t="s">
        <v>202</v>
      </c>
      <c r="E207" s="1">
        <v>2501.0</v>
      </c>
      <c r="F207" s="1" t="s">
        <v>3072</v>
      </c>
      <c r="G207" s="1" t="s">
        <v>2793</v>
      </c>
      <c r="H207" s="1" t="s">
        <v>768</v>
      </c>
      <c r="I207" s="1" t="s">
        <v>2758</v>
      </c>
      <c r="J207" s="1" t="s">
        <v>2758</v>
      </c>
      <c r="K207" s="1" t="s">
        <v>2685</v>
      </c>
      <c r="L207" s="1" t="s">
        <v>1374</v>
      </c>
      <c r="M207" s="1" t="s">
        <v>51</v>
      </c>
      <c r="N207" s="1" t="s">
        <v>737</v>
      </c>
      <c r="O207" s="1" t="s">
        <v>31</v>
      </c>
      <c r="P207" s="1" t="s">
        <v>812</v>
      </c>
      <c r="Q207" s="1" t="s">
        <v>1039</v>
      </c>
      <c r="R207" s="1" t="s">
        <v>3076</v>
      </c>
      <c r="S207" s="1" t="s">
        <v>1041</v>
      </c>
      <c r="T207" s="1" t="s">
        <v>1378</v>
      </c>
      <c r="U207" s="1" t="s">
        <v>31</v>
      </c>
      <c r="V207" s="5"/>
      <c r="W207" s="5"/>
      <c r="X207" s="5"/>
      <c r="Y207" s="5"/>
      <c r="Z207" s="5"/>
    </row>
    <row r="208" ht="14.25" customHeight="1">
      <c r="A208" s="1" t="s">
        <v>3077</v>
      </c>
      <c r="B208" s="1">
        <v>1.1000054E7</v>
      </c>
      <c r="C208" s="1" t="str">
        <f>VLOOKUP(B208,Equipment!A$1:J$470,9,0)</f>
        <v>E</v>
      </c>
      <c r="D208" s="1" t="s">
        <v>244</v>
      </c>
      <c r="E208" s="1">
        <v>2501.0</v>
      </c>
      <c r="F208" s="1" t="s">
        <v>3078</v>
      </c>
      <c r="G208" s="1" t="s">
        <v>1034</v>
      </c>
      <c r="H208" s="1" t="s">
        <v>768</v>
      </c>
      <c r="I208" s="1" t="s">
        <v>2758</v>
      </c>
      <c r="J208" s="1" t="s">
        <v>2758</v>
      </c>
      <c r="K208" s="1" t="s">
        <v>2685</v>
      </c>
      <c r="L208" s="1" t="s">
        <v>1037</v>
      </c>
      <c r="M208" s="1" t="s">
        <v>51</v>
      </c>
      <c r="N208" s="1" t="s">
        <v>737</v>
      </c>
      <c r="O208" s="1" t="s">
        <v>31</v>
      </c>
      <c r="P208" s="1" t="s">
        <v>1345</v>
      </c>
      <c r="Q208" s="1" t="s">
        <v>1039</v>
      </c>
      <c r="R208" s="1" t="s">
        <v>1054</v>
      </c>
      <c r="S208" s="1" t="s">
        <v>1041</v>
      </c>
      <c r="T208" s="1" t="s">
        <v>3080</v>
      </c>
      <c r="U208" s="1" t="s">
        <v>31</v>
      </c>
      <c r="V208" s="5"/>
      <c r="W208" s="5"/>
      <c r="X208" s="5"/>
      <c r="Y208" s="5"/>
      <c r="Z208" s="5"/>
    </row>
    <row r="209" ht="14.25" hidden="1" customHeight="1">
      <c r="A209" s="1" t="s">
        <v>3081</v>
      </c>
      <c r="B209" s="1">
        <v>1.1000113E7</v>
      </c>
      <c r="C209" s="1" t="str">
        <f>VLOOKUP(B209,Equipment!A$1:J$470,9,0)</f>
        <v>E</v>
      </c>
      <c r="D209" s="1" t="s">
        <v>324</v>
      </c>
      <c r="E209" s="1">
        <v>1501.0</v>
      </c>
      <c r="F209" s="1" t="s">
        <v>3084</v>
      </c>
      <c r="G209" s="1" t="s">
        <v>2286</v>
      </c>
      <c r="H209" s="1" t="s">
        <v>768</v>
      </c>
      <c r="I209" s="1" t="s">
        <v>2758</v>
      </c>
      <c r="J209" s="1" t="s">
        <v>2758</v>
      </c>
      <c r="K209" s="1" t="s">
        <v>2758</v>
      </c>
      <c r="L209" s="1" t="s">
        <v>3090</v>
      </c>
      <c r="M209" s="1" t="s">
        <v>51</v>
      </c>
      <c r="N209" s="1" t="s">
        <v>737</v>
      </c>
      <c r="O209" s="1" t="s">
        <v>31</v>
      </c>
      <c r="P209" s="1" t="s">
        <v>789</v>
      </c>
      <c r="Q209" s="1" t="s">
        <v>741</v>
      </c>
      <c r="R209" s="1" t="s">
        <v>3091</v>
      </c>
      <c r="S209" s="1" t="s">
        <v>745</v>
      </c>
      <c r="T209" s="1" t="s">
        <v>3093</v>
      </c>
      <c r="U209" s="1" t="s">
        <v>31</v>
      </c>
      <c r="V209" s="5"/>
      <c r="W209" s="5"/>
      <c r="X209" s="5"/>
      <c r="Y209" s="5"/>
      <c r="Z209" s="5"/>
    </row>
    <row r="210" ht="14.25" hidden="1" customHeight="1">
      <c r="A210" s="1" t="s">
        <v>3094</v>
      </c>
      <c r="B210" s="1">
        <v>1.1000182E7</v>
      </c>
      <c r="C210" s="1" t="str">
        <f>VLOOKUP(B210,Equipment!A$1:J$470,9,0)</f>
        <v>E</v>
      </c>
      <c r="D210" s="1" t="s">
        <v>361</v>
      </c>
      <c r="E210" s="1">
        <v>1501.0</v>
      </c>
      <c r="F210" s="1" t="s">
        <v>3084</v>
      </c>
      <c r="G210" s="1" t="s">
        <v>732</v>
      </c>
      <c r="H210" s="1" t="s">
        <v>768</v>
      </c>
      <c r="I210" s="1" t="s">
        <v>2758</v>
      </c>
      <c r="J210" s="1" t="s">
        <v>2758</v>
      </c>
      <c r="K210" s="1" t="s">
        <v>2758</v>
      </c>
      <c r="L210" s="1" t="s">
        <v>3101</v>
      </c>
      <c r="M210" s="1" t="s">
        <v>51</v>
      </c>
      <c r="N210" s="1" t="s">
        <v>737</v>
      </c>
      <c r="O210" s="1" t="s">
        <v>31</v>
      </c>
      <c r="P210" s="1" t="s">
        <v>812</v>
      </c>
      <c r="Q210" s="1" t="s">
        <v>741</v>
      </c>
      <c r="R210" s="1" t="s">
        <v>743</v>
      </c>
      <c r="S210" s="1" t="s">
        <v>745</v>
      </c>
      <c r="T210" s="1" t="s">
        <v>2291</v>
      </c>
      <c r="U210" s="1" t="s">
        <v>31</v>
      </c>
      <c r="V210" s="5"/>
      <c r="W210" s="5"/>
      <c r="X210" s="5"/>
      <c r="Y210" s="5"/>
      <c r="Z210" s="5"/>
    </row>
    <row r="211" ht="14.25" hidden="1" customHeight="1">
      <c r="A211" s="1" t="s">
        <v>3104</v>
      </c>
      <c r="B211" s="1">
        <v>1.1000228E7</v>
      </c>
      <c r="C211" s="1" t="str">
        <f>VLOOKUP(B211,Equipment!A$1:J$470,9,0)</f>
        <v>E</v>
      </c>
      <c r="D211" s="1" t="s">
        <v>483</v>
      </c>
      <c r="E211" s="1">
        <v>2001.0</v>
      </c>
      <c r="F211" s="1" t="s">
        <v>785</v>
      </c>
      <c r="G211" s="1" t="s">
        <v>131</v>
      </c>
      <c r="H211" s="1" t="s">
        <v>768</v>
      </c>
      <c r="I211" s="1" t="s">
        <v>2758</v>
      </c>
      <c r="J211" s="1" t="s">
        <v>2758</v>
      </c>
      <c r="K211" s="1" t="s">
        <v>2758</v>
      </c>
      <c r="L211" s="1" t="s">
        <v>1947</v>
      </c>
      <c r="M211" s="1" t="s">
        <v>51</v>
      </c>
      <c r="N211" s="1" t="s">
        <v>737</v>
      </c>
      <c r="O211" s="1" t="s">
        <v>31</v>
      </c>
      <c r="P211" s="1" t="s">
        <v>789</v>
      </c>
      <c r="Q211" s="1" t="s">
        <v>777</v>
      </c>
      <c r="R211" s="1" t="s">
        <v>928</v>
      </c>
      <c r="S211" s="1" t="s">
        <v>779</v>
      </c>
      <c r="T211" s="1" t="s">
        <v>3115</v>
      </c>
      <c r="U211" s="1" t="s">
        <v>31</v>
      </c>
      <c r="V211" s="5"/>
      <c r="W211" s="5"/>
      <c r="X211" s="5"/>
      <c r="Y211" s="5"/>
      <c r="Z211" s="5"/>
    </row>
    <row r="212" ht="14.25" hidden="1" customHeight="1">
      <c r="A212" s="1" t="s">
        <v>3116</v>
      </c>
      <c r="B212" s="1">
        <v>1.1000316E7</v>
      </c>
      <c r="C212" s="1" t="str">
        <f>VLOOKUP(B212,Equipment!A$1:J$470,9,0)</f>
        <v>E</v>
      </c>
      <c r="D212" s="1" t="s">
        <v>488</v>
      </c>
      <c r="E212" s="1">
        <v>2001.0</v>
      </c>
      <c r="F212" s="1" t="s">
        <v>846</v>
      </c>
      <c r="G212" s="1" t="s">
        <v>491</v>
      </c>
      <c r="H212" s="1" t="s">
        <v>768</v>
      </c>
      <c r="I212" s="1" t="s">
        <v>2758</v>
      </c>
      <c r="J212" s="1" t="s">
        <v>2758</v>
      </c>
      <c r="K212" s="1" t="s">
        <v>2758</v>
      </c>
      <c r="L212" s="1" t="s">
        <v>3120</v>
      </c>
      <c r="M212" s="1" t="s">
        <v>51</v>
      </c>
      <c r="N212" s="1" t="s">
        <v>737</v>
      </c>
      <c r="O212" s="1" t="s">
        <v>31</v>
      </c>
      <c r="P212" s="1" t="s">
        <v>1086</v>
      </c>
      <c r="Q212" s="1" t="s">
        <v>777</v>
      </c>
      <c r="R212" s="1" t="s">
        <v>895</v>
      </c>
      <c r="S212" s="1" t="s">
        <v>779</v>
      </c>
      <c r="T212" s="1" t="s">
        <v>3126</v>
      </c>
      <c r="U212" s="1" t="s">
        <v>31</v>
      </c>
      <c r="V212" s="5"/>
      <c r="W212" s="5"/>
      <c r="X212" s="5"/>
      <c r="Y212" s="5"/>
      <c r="Z212" s="5"/>
    </row>
    <row r="213" ht="14.25" hidden="1" customHeight="1">
      <c r="A213" s="1" t="s">
        <v>3130</v>
      </c>
      <c r="B213" s="1">
        <v>1.1000321E7</v>
      </c>
      <c r="C213" s="1" t="str">
        <f>VLOOKUP(B213,Equipment!A$1:J$470,9,0)</f>
        <v>E</v>
      </c>
      <c r="D213" s="1" t="s">
        <v>709</v>
      </c>
      <c r="E213" s="1">
        <v>2001.0</v>
      </c>
      <c r="F213" s="1" t="s">
        <v>785</v>
      </c>
      <c r="G213" s="1" t="s">
        <v>491</v>
      </c>
      <c r="H213" s="1" t="s">
        <v>768</v>
      </c>
      <c r="I213" s="1" t="s">
        <v>2758</v>
      </c>
      <c r="J213" s="1" t="s">
        <v>2758</v>
      </c>
      <c r="K213" s="1" t="s">
        <v>2758</v>
      </c>
      <c r="L213" s="1" t="s">
        <v>3134</v>
      </c>
      <c r="M213" s="1" t="s">
        <v>51</v>
      </c>
      <c r="N213" s="1" t="s">
        <v>737</v>
      </c>
      <c r="O213" s="1" t="s">
        <v>31</v>
      </c>
      <c r="P213" s="1" t="s">
        <v>789</v>
      </c>
      <c r="Q213" s="1" t="s">
        <v>777</v>
      </c>
      <c r="R213" s="1" t="s">
        <v>928</v>
      </c>
      <c r="S213" s="1" t="s">
        <v>779</v>
      </c>
      <c r="T213" s="1" t="s">
        <v>3135</v>
      </c>
      <c r="U213" s="1" t="s">
        <v>31</v>
      </c>
      <c r="V213" s="5"/>
      <c r="W213" s="5"/>
      <c r="X213" s="5"/>
      <c r="Y213" s="5"/>
      <c r="Z213" s="5"/>
    </row>
    <row r="214" ht="14.25" hidden="1" customHeight="1">
      <c r="A214" s="1" t="s">
        <v>3137</v>
      </c>
      <c r="B214" s="1">
        <v>1.1000321E7</v>
      </c>
      <c r="C214" s="1" t="str">
        <f>VLOOKUP(B214,Equipment!A$1:J$470,9,0)</f>
        <v>E</v>
      </c>
      <c r="D214" s="1" t="s">
        <v>709</v>
      </c>
      <c r="E214" s="1">
        <v>2001.0</v>
      </c>
      <c r="F214" s="1" t="s">
        <v>766</v>
      </c>
      <c r="G214" s="1" t="s">
        <v>491</v>
      </c>
      <c r="H214" s="1" t="s">
        <v>768</v>
      </c>
      <c r="I214" s="1" t="s">
        <v>2758</v>
      </c>
      <c r="J214" s="1" t="s">
        <v>2758</v>
      </c>
      <c r="K214" s="1" t="s">
        <v>2758</v>
      </c>
      <c r="L214" s="1" t="s">
        <v>3134</v>
      </c>
      <c r="M214" s="1" t="s">
        <v>51</v>
      </c>
      <c r="N214" s="1" t="s">
        <v>737</v>
      </c>
      <c r="O214" s="1" t="s">
        <v>31</v>
      </c>
      <c r="P214" s="1" t="s">
        <v>1655</v>
      </c>
      <c r="Q214" s="1" t="s">
        <v>777</v>
      </c>
      <c r="R214" s="1" t="s">
        <v>928</v>
      </c>
      <c r="S214" s="1" t="s">
        <v>779</v>
      </c>
      <c r="T214" s="1" t="s">
        <v>3135</v>
      </c>
      <c r="U214" s="1" t="s">
        <v>31</v>
      </c>
      <c r="V214" s="5"/>
      <c r="W214" s="5"/>
      <c r="X214" s="5"/>
      <c r="Y214" s="5"/>
      <c r="Z214" s="5"/>
    </row>
    <row r="215" ht="14.25" hidden="1" customHeight="1">
      <c r="A215" s="1" t="s">
        <v>3151</v>
      </c>
      <c r="B215" s="1">
        <v>1.1000555E7</v>
      </c>
      <c r="C215" s="1" t="str">
        <f>VLOOKUP(B215,Equipment!A$1:J$470,9,0)</f>
        <v>E</v>
      </c>
      <c r="D215" s="1" t="s">
        <v>1205</v>
      </c>
      <c r="E215" s="1">
        <v>1031.0</v>
      </c>
      <c r="F215" s="1" t="s">
        <v>3158</v>
      </c>
      <c r="G215" s="1" t="s">
        <v>491</v>
      </c>
      <c r="H215" s="1" t="s">
        <v>768</v>
      </c>
      <c r="I215" s="1" t="s">
        <v>2758</v>
      </c>
      <c r="J215" s="1" t="s">
        <v>2758</v>
      </c>
      <c r="K215" s="1" t="s">
        <v>31</v>
      </c>
      <c r="L215" s="1" t="s">
        <v>3162</v>
      </c>
      <c r="M215" s="1" t="s">
        <v>51</v>
      </c>
      <c r="N215" s="1" t="s">
        <v>737</v>
      </c>
      <c r="O215" s="1" t="s">
        <v>31</v>
      </c>
      <c r="P215" s="1" t="s">
        <v>789</v>
      </c>
      <c r="Q215" s="1" t="s">
        <v>948</v>
      </c>
      <c r="R215" s="1" t="s">
        <v>3164</v>
      </c>
      <c r="S215" s="1" t="s">
        <v>983</v>
      </c>
      <c r="T215" s="1" t="s">
        <v>3165</v>
      </c>
      <c r="U215" s="1" t="s">
        <v>31</v>
      </c>
      <c r="V215" s="5"/>
      <c r="W215" s="5"/>
      <c r="X215" s="5"/>
      <c r="Y215" s="5"/>
      <c r="Z215" s="5"/>
    </row>
    <row r="216" ht="14.25" hidden="1" customHeight="1">
      <c r="A216" s="1" t="s">
        <v>3166</v>
      </c>
      <c r="B216" s="1">
        <v>1.1000581E7</v>
      </c>
      <c r="C216" s="1" t="str">
        <f>VLOOKUP(B216,Equipment!A$1:J$470,9,0)</f>
        <v>E</v>
      </c>
      <c r="D216" s="1" t="s">
        <v>1381</v>
      </c>
      <c r="E216" s="1">
        <v>1031.0</v>
      </c>
      <c r="F216" s="1" t="s">
        <v>3177</v>
      </c>
      <c r="G216" s="1" t="s">
        <v>223</v>
      </c>
      <c r="H216" s="1" t="s">
        <v>768</v>
      </c>
      <c r="I216" s="1" t="s">
        <v>2758</v>
      </c>
      <c r="J216" s="1" t="s">
        <v>2758</v>
      </c>
      <c r="K216" s="1" t="s">
        <v>31</v>
      </c>
      <c r="L216" s="1" t="s">
        <v>3180</v>
      </c>
      <c r="M216" s="1" t="s">
        <v>51</v>
      </c>
      <c r="N216" s="1" t="s">
        <v>737</v>
      </c>
      <c r="O216" s="1" t="s">
        <v>31</v>
      </c>
      <c r="P216" s="1" t="s">
        <v>776</v>
      </c>
      <c r="Q216" s="1" t="s">
        <v>948</v>
      </c>
      <c r="R216" s="1" t="s">
        <v>982</v>
      </c>
      <c r="S216" s="1" t="s">
        <v>983</v>
      </c>
      <c r="T216" s="1" t="s">
        <v>664</v>
      </c>
      <c r="U216" s="1" t="s">
        <v>31</v>
      </c>
      <c r="V216" s="5"/>
      <c r="W216" s="5"/>
      <c r="X216" s="5"/>
      <c r="Y216" s="5"/>
      <c r="Z216" s="5"/>
    </row>
    <row r="217" ht="14.25" hidden="1" customHeight="1">
      <c r="A217" s="1" t="s">
        <v>3181</v>
      </c>
      <c r="B217" s="1">
        <v>1.1000715E7</v>
      </c>
      <c r="C217" s="1" t="str">
        <f>VLOOKUP(B217,Equipment!A$1:J$470,9,0)</f>
        <v>E</v>
      </c>
      <c r="D217" s="1" t="s">
        <v>988</v>
      </c>
      <c r="E217" s="1">
        <v>2001.0</v>
      </c>
      <c r="F217" s="1" t="s">
        <v>766</v>
      </c>
      <c r="G217" s="1" t="s">
        <v>131</v>
      </c>
      <c r="H217" s="1" t="s">
        <v>768</v>
      </c>
      <c r="I217" s="1" t="s">
        <v>2758</v>
      </c>
      <c r="J217" s="1" t="s">
        <v>2758</v>
      </c>
      <c r="K217" s="1" t="s">
        <v>2758</v>
      </c>
      <c r="L217" s="1" t="s">
        <v>3198</v>
      </c>
      <c r="M217" s="1" t="s">
        <v>51</v>
      </c>
      <c r="N217" s="1" t="s">
        <v>737</v>
      </c>
      <c r="O217" s="1" t="s">
        <v>31</v>
      </c>
      <c r="P217" s="1" t="s">
        <v>776</v>
      </c>
      <c r="Q217" s="1" t="s">
        <v>777</v>
      </c>
      <c r="R217" s="1" t="s">
        <v>928</v>
      </c>
      <c r="S217" s="1" t="s">
        <v>779</v>
      </c>
      <c r="T217" s="1" t="s">
        <v>3202</v>
      </c>
      <c r="U217" s="1" t="s">
        <v>31</v>
      </c>
      <c r="V217" s="5"/>
      <c r="W217" s="5"/>
      <c r="X217" s="5"/>
      <c r="Y217" s="5"/>
      <c r="Z217" s="5"/>
    </row>
    <row r="218" ht="14.25" hidden="1" customHeight="1">
      <c r="A218" s="1" t="s">
        <v>3205</v>
      </c>
      <c r="B218" s="1">
        <v>1.1001327E7</v>
      </c>
      <c r="C218" s="1" t="str">
        <f>VLOOKUP(B218,Equipment!A$1:J$470,9,0)</f>
        <v>E</v>
      </c>
      <c r="D218" s="1" t="s">
        <v>1277</v>
      </c>
      <c r="E218" s="1">
        <v>1041.0</v>
      </c>
      <c r="F218" s="1" t="s">
        <v>3209</v>
      </c>
      <c r="G218" s="1" t="s">
        <v>68</v>
      </c>
      <c r="H218" s="1" t="s">
        <v>768</v>
      </c>
      <c r="I218" s="1" t="s">
        <v>2758</v>
      </c>
      <c r="J218" s="1" t="s">
        <v>2758</v>
      </c>
      <c r="K218" s="1" t="s">
        <v>2685</v>
      </c>
      <c r="L218" s="1" t="s">
        <v>2577</v>
      </c>
      <c r="M218" s="1" t="s">
        <v>51</v>
      </c>
      <c r="N218" s="1" t="s">
        <v>737</v>
      </c>
      <c r="O218" s="1" t="s">
        <v>31</v>
      </c>
      <c r="P218" s="1" t="s">
        <v>1684</v>
      </c>
      <c r="Q218" s="1" t="s">
        <v>948</v>
      </c>
      <c r="R218" s="1" t="s">
        <v>965</v>
      </c>
      <c r="S218" s="1" t="s">
        <v>950</v>
      </c>
      <c r="T218" s="1" t="s">
        <v>2581</v>
      </c>
      <c r="U218" s="1" t="s">
        <v>31</v>
      </c>
      <c r="V218" s="5"/>
      <c r="W218" s="5"/>
      <c r="X218" s="5"/>
      <c r="Y218" s="5"/>
      <c r="Z218" s="5"/>
    </row>
    <row r="219" ht="14.25" hidden="1" customHeight="1">
      <c r="A219" s="1" t="s">
        <v>3213</v>
      </c>
      <c r="B219" s="1">
        <v>1.1001327E7</v>
      </c>
      <c r="C219" s="1" t="str">
        <f>VLOOKUP(B219,Equipment!A$1:J$470,9,0)</f>
        <v>E</v>
      </c>
      <c r="D219" s="1" t="s">
        <v>1277</v>
      </c>
      <c r="E219" s="1">
        <v>1041.0</v>
      </c>
      <c r="F219" s="1" t="s">
        <v>3220</v>
      </c>
      <c r="G219" s="1" t="s">
        <v>68</v>
      </c>
      <c r="H219" s="1" t="s">
        <v>768</v>
      </c>
      <c r="I219" s="1" t="s">
        <v>2758</v>
      </c>
      <c r="J219" s="1" t="s">
        <v>2758</v>
      </c>
      <c r="K219" s="1" t="s">
        <v>2685</v>
      </c>
      <c r="L219" s="1" t="s">
        <v>2577</v>
      </c>
      <c r="M219" s="1" t="s">
        <v>51</v>
      </c>
      <c r="N219" s="1" t="s">
        <v>737</v>
      </c>
      <c r="O219" s="1" t="s">
        <v>31</v>
      </c>
      <c r="P219" s="1" t="s">
        <v>1684</v>
      </c>
      <c r="Q219" s="1" t="s">
        <v>948</v>
      </c>
      <c r="R219" s="1" t="s">
        <v>965</v>
      </c>
      <c r="S219" s="1" t="s">
        <v>950</v>
      </c>
      <c r="T219" s="1" t="s">
        <v>2581</v>
      </c>
      <c r="U219" s="1" t="s">
        <v>31</v>
      </c>
      <c r="V219" s="5"/>
      <c r="W219" s="5"/>
      <c r="X219" s="5"/>
      <c r="Y219" s="5"/>
      <c r="Z219" s="5"/>
    </row>
    <row r="220" ht="14.25" hidden="1" customHeight="1">
      <c r="A220" s="1" t="s">
        <v>3221</v>
      </c>
      <c r="B220" s="1">
        <v>1.1001327E7</v>
      </c>
      <c r="C220" s="1" t="str">
        <f>VLOOKUP(B220,Equipment!A$1:J$470,9,0)</f>
        <v>E</v>
      </c>
      <c r="D220" s="1" t="s">
        <v>1277</v>
      </c>
      <c r="E220" s="1">
        <v>1041.0</v>
      </c>
      <c r="F220" s="1" t="s">
        <v>3225</v>
      </c>
      <c r="G220" s="1" t="s">
        <v>68</v>
      </c>
      <c r="H220" s="1" t="s">
        <v>768</v>
      </c>
      <c r="I220" s="1" t="s">
        <v>2758</v>
      </c>
      <c r="J220" s="1" t="s">
        <v>2758</v>
      </c>
      <c r="K220" s="1" t="s">
        <v>2685</v>
      </c>
      <c r="L220" s="1" t="s">
        <v>2577</v>
      </c>
      <c r="M220" s="1" t="s">
        <v>51</v>
      </c>
      <c r="N220" s="1" t="s">
        <v>737</v>
      </c>
      <c r="O220" s="1" t="s">
        <v>31</v>
      </c>
      <c r="P220" s="1" t="s">
        <v>776</v>
      </c>
      <c r="Q220" s="1" t="s">
        <v>948</v>
      </c>
      <c r="R220" s="1" t="s">
        <v>965</v>
      </c>
      <c r="S220" s="1" t="s">
        <v>950</v>
      </c>
      <c r="T220" s="1" t="s">
        <v>2581</v>
      </c>
      <c r="U220" s="1" t="s">
        <v>31</v>
      </c>
      <c r="V220" s="5"/>
      <c r="W220" s="5"/>
      <c r="X220" s="5"/>
      <c r="Y220" s="5"/>
      <c r="Z220" s="5"/>
    </row>
    <row r="221" ht="14.25" hidden="1" customHeight="1">
      <c r="A221" s="1" t="s">
        <v>3229</v>
      </c>
      <c r="B221" s="1">
        <v>1.1001347E7</v>
      </c>
      <c r="C221" s="1" t="str">
        <f>VLOOKUP(B221,Equipment!A$1:J$470,9,0)</f>
        <v>E</v>
      </c>
      <c r="D221" s="1" t="s">
        <v>2841</v>
      </c>
      <c r="E221" s="1">
        <v>1501.0</v>
      </c>
      <c r="F221" s="1" t="s">
        <v>3230</v>
      </c>
      <c r="G221" s="1" t="s">
        <v>1361</v>
      </c>
      <c r="H221" s="1" t="s">
        <v>31</v>
      </c>
      <c r="I221" s="1" t="s">
        <v>2758</v>
      </c>
      <c r="J221" s="1" t="s">
        <v>2758</v>
      </c>
      <c r="K221" s="1" t="s">
        <v>2758</v>
      </c>
      <c r="L221" s="1" t="s">
        <v>3234</v>
      </c>
      <c r="M221" s="1" t="s">
        <v>51</v>
      </c>
      <c r="N221" s="1" t="s">
        <v>737</v>
      </c>
      <c r="O221" s="1" t="s">
        <v>31</v>
      </c>
      <c r="P221" s="1" t="s">
        <v>1306</v>
      </c>
      <c r="Q221" s="1" t="s">
        <v>741</v>
      </c>
      <c r="R221" s="1" t="s">
        <v>3236</v>
      </c>
      <c r="S221" s="1" t="s">
        <v>745</v>
      </c>
      <c r="T221" s="1" t="s">
        <v>3237</v>
      </c>
      <c r="U221" s="1" t="s">
        <v>31</v>
      </c>
      <c r="V221" s="5"/>
      <c r="W221" s="5"/>
      <c r="X221" s="5"/>
      <c r="Y221" s="5"/>
      <c r="Z221" s="5"/>
    </row>
    <row r="222" ht="14.25" hidden="1" customHeight="1">
      <c r="A222" s="1" t="s">
        <v>3239</v>
      </c>
      <c r="B222" s="1">
        <v>2.1000002E7</v>
      </c>
      <c r="C222" s="1" t="str">
        <f>VLOOKUP(B222,Equipment!A$1:J$470,9,0)</f>
        <v>U</v>
      </c>
      <c r="D222" s="1" t="s">
        <v>3152</v>
      </c>
      <c r="E222" s="1">
        <v>1001.0</v>
      </c>
      <c r="F222" s="1" t="s">
        <v>1854</v>
      </c>
      <c r="G222" s="1" t="s">
        <v>1132</v>
      </c>
      <c r="H222" s="1" t="s">
        <v>768</v>
      </c>
      <c r="I222" s="1" t="s">
        <v>2758</v>
      </c>
      <c r="J222" s="1" t="s">
        <v>2758</v>
      </c>
      <c r="K222" s="1" t="s">
        <v>2758</v>
      </c>
      <c r="L222" s="1" t="s">
        <v>1237</v>
      </c>
      <c r="M222" s="1" t="s">
        <v>51</v>
      </c>
      <c r="N222" s="1" t="s">
        <v>737</v>
      </c>
      <c r="O222" s="1" t="s">
        <v>31</v>
      </c>
      <c r="P222" s="1" t="s">
        <v>789</v>
      </c>
      <c r="Q222" s="1" t="s">
        <v>948</v>
      </c>
      <c r="R222" s="1" t="s">
        <v>1082</v>
      </c>
      <c r="S222" s="1" t="s">
        <v>1139</v>
      </c>
      <c r="T222" s="1" t="s">
        <v>1140</v>
      </c>
      <c r="U222" s="1" t="s">
        <v>31</v>
      </c>
      <c r="V222" s="5"/>
      <c r="W222" s="5"/>
      <c r="X222" s="5"/>
      <c r="Y222" s="5"/>
      <c r="Z222" s="5"/>
    </row>
    <row r="223" ht="14.25" hidden="1" customHeight="1">
      <c r="A223" s="1" t="s">
        <v>3247</v>
      </c>
      <c r="B223" s="1">
        <v>1.1000033E7</v>
      </c>
      <c r="C223" s="1" t="str">
        <f>VLOOKUP(B223,Equipment!A$1:J$470,9,0)</f>
        <v>E</v>
      </c>
      <c r="D223" s="1" t="s">
        <v>187</v>
      </c>
      <c r="E223" s="1">
        <v>1001.0</v>
      </c>
      <c r="F223" s="1" t="s">
        <v>3249</v>
      </c>
      <c r="G223" s="1" t="s">
        <v>2940</v>
      </c>
      <c r="H223" s="1" t="s">
        <v>768</v>
      </c>
      <c r="I223" s="1" t="s">
        <v>2685</v>
      </c>
      <c r="J223" s="1" t="s">
        <v>2685</v>
      </c>
      <c r="K223" s="1" t="s">
        <v>2685</v>
      </c>
      <c r="L223" s="1" t="s">
        <v>2944</v>
      </c>
      <c r="M223" s="1" t="s">
        <v>51</v>
      </c>
      <c r="N223" s="1" t="s">
        <v>737</v>
      </c>
      <c r="O223" s="1" t="s">
        <v>31</v>
      </c>
      <c r="P223" s="1" t="s">
        <v>1655</v>
      </c>
      <c r="Q223" s="1" t="s">
        <v>948</v>
      </c>
      <c r="R223" s="1" t="s">
        <v>2301</v>
      </c>
      <c r="S223" s="1" t="s">
        <v>1139</v>
      </c>
      <c r="T223" s="1" t="s">
        <v>1140</v>
      </c>
      <c r="U223" s="1" t="s">
        <v>31</v>
      </c>
      <c r="V223" s="5"/>
      <c r="W223" s="5"/>
      <c r="X223" s="5"/>
      <c r="Y223" s="5"/>
      <c r="Z223" s="5"/>
    </row>
    <row r="224" ht="14.25" hidden="1" customHeight="1">
      <c r="A224" s="1" t="s">
        <v>3256</v>
      </c>
      <c r="B224" s="1">
        <v>1.1000212E7</v>
      </c>
      <c r="C224" s="1" t="str">
        <f>VLOOKUP(B224,Equipment!A$1:J$470,9,0)</f>
        <v>E</v>
      </c>
      <c r="D224" s="1" t="s">
        <v>419</v>
      </c>
      <c r="E224" s="1">
        <v>2001.0</v>
      </c>
      <c r="F224" s="1" t="s">
        <v>766</v>
      </c>
      <c r="G224" s="1" t="s">
        <v>131</v>
      </c>
      <c r="H224" s="1" t="s">
        <v>768</v>
      </c>
      <c r="I224" s="1" t="s">
        <v>2685</v>
      </c>
      <c r="J224" s="1" t="s">
        <v>2685</v>
      </c>
      <c r="K224" s="1" t="s">
        <v>2685</v>
      </c>
      <c r="L224" s="1" t="s">
        <v>3261</v>
      </c>
      <c r="M224" s="1" t="s">
        <v>51</v>
      </c>
      <c r="N224" s="1" t="s">
        <v>737</v>
      </c>
      <c r="O224" s="1" t="s">
        <v>31</v>
      </c>
      <c r="P224" s="1" t="s">
        <v>776</v>
      </c>
      <c r="Q224" s="1" t="s">
        <v>777</v>
      </c>
      <c r="R224" s="1" t="s">
        <v>2186</v>
      </c>
      <c r="S224" s="1" t="s">
        <v>779</v>
      </c>
      <c r="T224" s="1" t="s">
        <v>3270</v>
      </c>
      <c r="U224" s="1" t="s">
        <v>31</v>
      </c>
      <c r="V224" s="5"/>
      <c r="W224" s="5"/>
      <c r="X224" s="5"/>
      <c r="Y224" s="5"/>
      <c r="Z224" s="5"/>
    </row>
    <row r="225" ht="14.25" hidden="1" customHeight="1">
      <c r="A225" s="1" t="s">
        <v>3273</v>
      </c>
      <c r="B225" s="1">
        <v>1.1000273E7</v>
      </c>
      <c r="C225" s="1" t="str">
        <f>VLOOKUP(B225,Equipment!A$1:J$470,9,0)</f>
        <v>E</v>
      </c>
      <c r="D225" s="1" t="s">
        <v>563</v>
      </c>
      <c r="E225" s="1">
        <v>2001.0</v>
      </c>
      <c r="F225" s="1" t="s">
        <v>785</v>
      </c>
      <c r="G225" s="1" t="s">
        <v>491</v>
      </c>
      <c r="H225" s="1" t="s">
        <v>768</v>
      </c>
      <c r="I225" s="1" t="s">
        <v>2685</v>
      </c>
      <c r="J225" s="1" t="s">
        <v>2685</v>
      </c>
      <c r="K225" s="1" t="s">
        <v>2685</v>
      </c>
      <c r="L225" s="1" t="s">
        <v>3275</v>
      </c>
      <c r="M225" s="1" t="s">
        <v>51</v>
      </c>
      <c r="N225" s="1" t="s">
        <v>737</v>
      </c>
      <c r="O225" s="1" t="s">
        <v>31</v>
      </c>
      <c r="P225" s="1" t="s">
        <v>789</v>
      </c>
      <c r="Q225" s="1" t="s">
        <v>777</v>
      </c>
      <c r="R225" s="1" t="s">
        <v>814</v>
      </c>
      <c r="S225" s="1" t="s">
        <v>779</v>
      </c>
      <c r="T225" s="1" t="s">
        <v>3278</v>
      </c>
      <c r="U225" s="1" t="s">
        <v>31</v>
      </c>
      <c r="V225" s="5"/>
      <c r="W225" s="5"/>
      <c r="X225" s="5"/>
      <c r="Y225" s="5"/>
      <c r="Z225" s="5"/>
    </row>
    <row r="226" ht="14.25" hidden="1" customHeight="1">
      <c r="A226" s="1" t="s">
        <v>3281</v>
      </c>
      <c r="B226" s="1">
        <v>1.1000304E7</v>
      </c>
      <c r="C226" s="1" t="str">
        <f>VLOOKUP(B226,Equipment!A$1:J$470,9,0)</f>
        <v>E</v>
      </c>
      <c r="D226" s="1" t="s">
        <v>624</v>
      </c>
      <c r="E226" s="1">
        <v>2001.0</v>
      </c>
      <c r="F226" s="1" t="s">
        <v>766</v>
      </c>
      <c r="G226" s="1" t="s">
        <v>1176</v>
      </c>
      <c r="H226" s="1" t="s">
        <v>768</v>
      </c>
      <c r="I226" s="1" t="s">
        <v>2685</v>
      </c>
      <c r="J226" s="1" t="s">
        <v>2685</v>
      </c>
      <c r="K226" s="1" t="s">
        <v>2685</v>
      </c>
      <c r="L226" s="1" t="s">
        <v>3287</v>
      </c>
      <c r="M226" s="1" t="s">
        <v>51</v>
      </c>
      <c r="N226" s="1" t="s">
        <v>737</v>
      </c>
      <c r="O226" s="1" t="s">
        <v>31</v>
      </c>
      <c r="P226" s="1" t="s">
        <v>828</v>
      </c>
      <c r="Q226" s="1" t="s">
        <v>777</v>
      </c>
      <c r="R226" s="1" t="s">
        <v>1138</v>
      </c>
      <c r="S226" s="1" t="s">
        <v>779</v>
      </c>
      <c r="T226" s="1" t="s">
        <v>3288</v>
      </c>
      <c r="U226" s="1" t="s">
        <v>31</v>
      </c>
      <c r="V226" s="5"/>
      <c r="W226" s="5"/>
      <c r="X226" s="5"/>
      <c r="Y226" s="5"/>
      <c r="Z226" s="5"/>
    </row>
    <row r="227" ht="14.25" hidden="1" customHeight="1">
      <c r="A227" s="1" t="s">
        <v>3291</v>
      </c>
      <c r="B227" s="1">
        <v>1.1000318E7</v>
      </c>
      <c r="C227" s="1" t="str">
        <f>VLOOKUP(B227,Equipment!A$1:J$470,9,0)</f>
        <v>E</v>
      </c>
      <c r="D227" s="1" t="s">
        <v>510</v>
      </c>
      <c r="E227" s="1">
        <v>2001.0</v>
      </c>
      <c r="F227" s="1" t="s">
        <v>857</v>
      </c>
      <c r="G227" s="1" t="s">
        <v>491</v>
      </c>
      <c r="H227" s="1" t="s">
        <v>768</v>
      </c>
      <c r="I227" s="1" t="s">
        <v>2685</v>
      </c>
      <c r="J227" s="1" t="s">
        <v>2685</v>
      </c>
      <c r="K227" s="1" t="s">
        <v>2685</v>
      </c>
      <c r="L227" s="1" t="s">
        <v>3301</v>
      </c>
      <c r="M227" s="1" t="s">
        <v>51</v>
      </c>
      <c r="N227" s="1" t="s">
        <v>737</v>
      </c>
      <c r="O227" s="1" t="s">
        <v>31</v>
      </c>
      <c r="P227" s="1" t="s">
        <v>859</v>
      </c>
      <c r="Q227" s="1" t="s">
        <v>777</v>
      </c>
      <c r="R227" s="1" t="s">
        <v>928</v>
      </c>
      <c r="S227" s="1" t="s">
        <v>779</v>
      </c>
      <c r="T227" s="1" t="s">
        <v>3302</v>
      </c>
      <c r="U227" s="1" t="s">
        <v>31</v>
      </c>
      <c r="V227" s="5"/>
      <c r="W227" s="5"/>
      <c r="X227" s="5"/>
      <c r="Y227" s="5"/>
      <c r="Z227" s="5"/>
    </row>
    <row r="228" ht="14.25" hidden="1" customHeight="1">
      <c r="A228" s="1" t="s">
        <v>3304</v>
      </c>
      <c r="B228" s="1">
        <v>1.1000318E7</v>
      </c>
      <c r="C228" s="1" t="str">
        <f>VLOOKUP(B228,Equipment!A$1:J$470,9,0)</f>
        <v>E</v>
      </c>
      <c r="D228" s="1" t="s">
        <v>510</v>
      </c>
      <c r="E228" s="1">
        <v>2001.0</v>
      </c>
      <c r="F228" s="1" t="s">
        <v>846</v>
      </c>
      <c r="G228" s="1" t="s">
        <v>491</v>
      </c>
      <c r="H228" s="1" t="s">
        <v>768</v>
      </c>
      <c r="I228" s="1" t="s">
        <v>2685</v>
      </c>
      <c r="J228" s="1" t="s">
        <v>2685</v>
      </c>
      <c r="K228" s="1" t="s">
        <v>2685</v>
      </c>
      <c r="L228" s="1" t="s">
        <v>3301</v>
      </c>
      <c r="M228" s="1" t="s">
        <v>51</v>
      </c>
      <c r="N228" s="1" t="s">
        <v>737</v>
      </c>
      <c r="O228" s="1" t="s">
        <v>31</v>
      </c>
      <c r="P228" s="1" t="s">
        <v>850</v>
      </c>
      <c r="Q228" s="1" t="s">
        <v>777</v>
      </c>
      <c r="R228" s="1" t="s">
        <v>928</v>
      </c>
      <c r="S228" s="1" t="s">
        <v>779</v>
      </c>
      <c r="T228" s="1" t="s">
        <v>3302</v>
      </c>
      <c r="U228" s="1" t="s">
        <v>31</v>
      </c>
      <c r="V228" s="5"/>
      <c r="W228" s="5"/>
      <c r="X228" s="5"/>
      <c r="Y228" s="5"/>
      <c r="Z228" s="5"/>
    </row>
    <row r="229" ht="14.25" hidden="1" customHeight="1">
      <c r="A229" s="1" t="s">
        <v>3315</v>
      </c>
      <c r="B229" s="1">
        <v>1.100032E7</v>
      </c>
      <c r="C229" s="1" t="str">
        <f>VLOOKUP(B229,Equipment!A$1:J$470,9,0)</f>
        <v>E</v>
      </c>
      <c r="D229" s="1" t="s">
        <v>695</v>
      </c>
      <c r="E229" s="1">
        <v>2001.0</v>
      </c>
      <c r="F229" s="1" t="s">
        <v>785</v>
      </c>
      <c r="G229" s="1" t="s">
        <v>131</v>
      </c>
      <c r="H229" s="1" t="s">
        <v>768</v>
      </c>
      <c r="I229" s="1" t="s">
        <v>2685</v>
      </c>
      <c r="J229" s="1" t="s">
        <v>2685</v>
      </c>
      <c r="K229" s="1" t="s">
        <v>2685</v>
      </c>
      <c r="L229" s="1" t="s">
        <v>3321</v>
      </c>
      <c r="M229" s="1" t="s">
        <v>51</v>
      </c>
      <c r="N229" s="1" t="s">
        <v>737</v>
      </c>
      <c r="O229" s="1" t="s">
        <v>31</v>
      </c>
      <c r="P229" s="1" t="s">
        <v>789</v>
      </c>
      <c r="Q229" s="1" t="s">
        <v>777</v>
      </c>
      <c r="R229" s="1" t="s">
        <v>895</v>
      </c>
      <c r="S229" s="1" t="s">
        <v>779</v>
      </c>
      <c r="T229" s="1" t="s">
        <v>3324</v>
      </c>
      <c r="U229" s="1" t="s">
        <v>31</v>
      </c>
      <c r="V229" s="5"/>
      <c r="W229" s="5"/>
      <c r="X229" s="5"/>
      <c r="Y229" s="5"/>
      <c r="Z229" s="5"/>
    </row>
    <row r="230" ht="14.25" hidden="1" customHeight="1">
      <c r="A230" s="1" t="s">
        <v>3325</v>
      </c>
      <c r="B230" s="1">
        <v>1.100032E7</v>
      </c>
      <c r="C230" s="1" t="str">
        <f>VLOOKUP(B230,Equipment!A$1:J$470,9,0)</f>
        <v>E</v>
      </c>
      <c r="D230" s="1" t="s">
        <v>695</v>
      </c>
      <c r="E230" s="1">
        <v>2001.0</v>
      </c>
      <c r="F230" s="1" t="s">
        <v>766</v>
      </c>
      <c r="G230" s="1" t="s">
        <v>131</v>
      </c>
      <c r="H230" s="1" t="s">
        <v>768</v>
      </c>
      <c r="I230" s="1" t="s">
        <v>2685</v>
      </c>
      <c r="J230" s="1" t="s">
        <v>2685</v>
      </c>
      <c r="K230" s="1" t="s">
        <v>2685</v>
      </c>
      <c r="L230" s="1" t="s">
        <v>3321</v>
      </c>
      <c r="M230" s="1" t="s">
        <v>51</v>
      </c>
      <c r="N230" s="1" t="s">
        <v>737</v>
      </c>
      <c r="O230" s="1" t="s">
        <v>31</v>
      </c>
      <c r="P230" s="1" t="s">
        <v>776</v>
      </c>
      <c r="Q230" s="1" t="s">
        <v>777</v>
      </c>
      <c r="R230" s="1" t="s">
        <v>895</v>
      </c>
      <c r="S230" s="1" t="s">
        <v>779</v>
      </c>
      <c r="T230" s="1" t="s">
        <v>3324</v>
      </c>
      <c r="U230" s="1" t="s">
        <v>31</v>
      </c>
      <c r="V230" s="5"/>
      <c r="W230" s="5"/>
      <c r="X230" s="5"/>
      <c r="Y230" s="5"/>
      <c r="Z230" s="5"/>
    </row>
    <row r="231" ht="14.25" hidden="1" customHeight="1">
      <c r="A231" s="1" t="s">
        <v>3331</v>
      </c>
      <c r="B231" s="1">
        <v>1.100032E7</v>
      </c>
      <c r="C231" s="1" t="str">
        <f>VLOOKUP(B231,Equipment!A$1:J$470,9,0)</f>
        <v>E</v>
      </c>
      <c r="D231" s="1" t="s">
        <v>695</v>
      </c>
      <c r="E231" s="1">
        <v>2001.0</v>
      </c>
      <c r="F231" s="1" t="s">
        <v>846</v>
      </c>
      <c r="G231" s="1" t="s">
        <v>131</v>
      </c>
      <c r="H231" s="1" t="s">
        <v>768</v>
      </c>
      <c r="I231" s="1" t="s">
        <v>2685</v>
      </c>
      <c r="J231" s="1" t="s">
        <v>2685</v>
      </c>
      <c r="K231" s="1" t="s">
        <v>2685</v>
      </c>
      <c r="L231" s="1" t="s">
        <v>3321</v>
      </c>
      <c r="M231" s="1" t="s">
        <v>51</v>
      </c>
      <c r="N231" s="1" t="s">
        <v>737</v>
      </c>
      <c r="O231" s="1" t="s">
        <v>31</v>
      </c>
      <c r="P231" s="1" t="s">
        <v>850</v>
      </c>
      <c r="Q231" s="1" t="s">
        <v>777</v>
      </c>
      <c r="R231" s="1" t="s">
        <v>895</v>
      </c>
      <c r="S231" s="1" t="s">
        <v>779</v>
      </c>
      <c r="T231" s="1" t="s">
        <v>3324</v>
      </c>
      <c r="U231" s="1" t="s">
        <v>31</v>
      </c>
      <c r="V231" s="5"/>
      <c r="W231" s="5"/>
      <c r="X231" s="5"/>
      <c r="Y231" s="5"/>
      <c r="Z231" s="5"/>
    </row>
    <row r="232" ht="14.25" hidden="1" customHeight="1">
      <c r="A232" s="1" t="s">
        <v>3341</v>
      </c>
      <c r="B232" s="1">
        <v>1.1000323E7</v>
      </c>
      <c r="C232" s="1" t="str">
        <f>VLOOKUP(B232,Equipment!A$1:J$470,9,0)</f>
        <v>E</v>
      </c>
      <c r="D232" s="1" t="s">
        <v>725</v>
      </c>
      <c r="E232" s="1">
        <v>2001.0</v>
      </c>
      <c r="F232" s="1" t="s">
        <v>846</v>
      </c>
      <c r="G232" s="1" t="s">
        <v>491</v>
      </c>
      <c r="H232" s="1" t="s">
        <v>768</v>
      </c>
      <c r="I232" s="1" t="s">
        <v>2685</v>
      </c>
      <c r="J232" s="1" t="s">
        <v>2685</v>
      </c>
      <c r="K232" s="1" t="s">
        <v>2685</v>
      </c>
      <c r="L232" s="1" t="s">
        <v>3349</v>
      </c>
      <c r="M232" s="1" t="s">
        <v>51</v>
      </c>
      <c r="N232" s="1" t="s">
        <v>737</v>
      </c>
      <c r="O232" s="1" t="s">
        <v>31</v>
      </c>
      <c r="P232" s="1" t="s">
        <v>850</v>
      </c>
      <c r="Q232" s="1" t="s">
        <v>777</v>
      </c>
      <c r="R232" s="1" t="s">
        <v>895</v>
      </c>
      <c r="S232" s="1" t="s">
        <v>779</v>
      </c>
      <c r="T232" s="1" t="s">
        <v>3350</v>
      </c>
      <c r="U232" s="1" t="s">
        <v>31</v>
      </c>
      <c r="V232" s="5"/>
      <c r="W232" s="5"/>
      <c r="X232" s="5"/>
      <c r="Y232" s="5"/>
      <c r="Z232" s="5"/>
    </row>
    <row r="233" ht="14.25" hidden="1" customHeight="1">
      <c r="A233" s="1" t="s">
        <v>3351</v>
      </c>
      <c r="B233" s="1">
        <v>1.1000323E7</v>
      </c>
      <c r="C233" s="1" t="str">
        <f>VLOOKUP(B233,Equipment!A$1:J$470,9,0)</f>
        <v>E</v>
      </c>
      <c r="D233" s="1" t="s">
        <v>725</v>
      </c>
      <c r="E233" s="1">
        <v>2001.0</v>
      </c>
      <c r="F233" s="1" t="s">
        <v>785</v>
      </c>
      <c r="G233" s="1" t="s">
        <v>491</v>
      </c>
      <c r="H233" s="1" t="s">
        <v>768</v>
      </c>
      <c r="I233" s="1" t="s">
        <v>2685</v>
      </c>
      <c r="J233" s="1" t="s">
        <v>2685</v>
      </c>
      <c r="K233" s="1" t="s">
        <v>2685</v>
      </c>
      <c r="L233" s="1" t="s">
        <v>3349</v>
      </c>
      <c r="M233" s="1" t="s">
        <v>51</v>
      </c>
      <c r="N233" s="1" t="s">
        <v>737</v>
      </c>
      <c r="O233" s="1" t="s">
        <v>31</v>
      </c>
      <c r="P233" s="1" t="s">
        <v>812</v>
      </c>
      <c r="Q233" s="1" t="s">
        <v>777</v>
      </c>
      <c r="R233" s="1" t="s">
        <v>895</v>
      </c>
      <c r="S233" s="1" t="s">
        <v>779</v>
      </c>
      <c r="T233" s="1" t="s">
        <v>3350</v>
      </c>
      <c r="U233" s="1" t="s">
        <v>31</v>
      </c>
      <c r="V233" s="5"/>
      <c r="W233" s="5"/>
      <c r="X233" s="5"/>
      <c r="Y233" s="5"/>
      <c r="Z233" s="5"/>
    </row>
    <row r="234" ht="14.25" hidden="1" customHeight="1">
      <c r="A234" s="1" t="s">
        <v>3361</v>
      </c>
      <c r="B234" s="1">
        <v>1.1000323E7</v>
      </c>
      <c r="C234" s="1" t="str">
        <f>VLOOKUP(B234,Equipment!A$1:J$470,9,0)</f>
        <v>E</v>
      </c>
      <c r="D234" s="1" t="s">
        <v>725</v>
      </c>
      <c r="E234" s="1">
        <v>2001.0</v>
      </c>
      <c r="F234" s="1" t="s">
        <v>766</v>
      </c>
      <c r="G234" s="1" t="s">
        <v>491</v>
      </c>
      <c r="H234" s="1" t="s">
        <v>768</v>
      </c>
      <c r="I234" s="1" t="s">
        <v>2685</v>
      </c>
      <c r="J234" s="1" t="s">
        <v>2685</v>
      </c>
      <c r="K234" s="1" t="s">
        <v>2685</v>
      </c>
      <c r="L234" s="1" t="s">
        <v>3349</v>
      </c>
      <c r="M234" s="1" t="s">
        <v>51</v>
      </c>
      <c r="N234" s="1" t="s">
        <v>737</v>
      </c>
      <c r="O234" s="1" t="s">
        <v>31</v>
      </c>
      <c r="P234" s="1" t="s">
        <v>828</v>
      </c>
      <c r="Q234" s="1" t="s">
        <v>777</v>
      </c>
      <c r="R234" s="1" t="s">
        <v>895</v>
      </c>
      <c r="S234" s="1" t="s">
        <v>779</v>
      </c>
      <c r="T234" s="1" t="s">
        <v>3350</v>
      </c>
      <c r="U234" s="1" t="s">
        <v>31</v>
      </c>
      <c r="V234" s="5"/>
      <c r="W234" s="5"/>
      <c r="X234" s="5"/>
      <c r="Y234" s="5"/>
      <c r="Z234" s="5"/>
    </row>
    <row r="235" ht="14.25" hidden="1" customHeight="1">
      <c r="A235" s="1" t="s">
        <v>3371</v>
      </c>
      <c r="B235" s="1">
        <v>1.100039E7</v>
      </c>
      <c r="C235" s="1" t="str">
        <f>VLOOKUP(B235,Equipment!A$1:J$470,9,0)</f>
        <v>E</v>
      </c>
      <c r="D235" s="1" t="s">
        <v>608</v>
      </c>
      <c r="E235" s="1">
        <v>1041.0</v>
      </c>
      <c r="F235" s="1" t="s">
        <v>3376</v>
      </c>
      <c r="G235" s="1" t="s">
        <v>68</v>
      </c>
      <c r="H235" s="1" t="s">
        <v>768</v>
      </c>
      <c r="I235" s="1" t="s">
        <v>2685</v>
      </c>
      <c r="J235" s="1" t="s">
        <v>2685</v>
      </c>
      <c r="K235" s="1" t="s">
        <v>1033</v>
      </c>
      <c r="L235" s="1" t="s">
        <v>3379</v>
      </c>
      <c r="M235" s="1" t="s">
        <v>51</v>
      </c>
      <c r="N235" s="1" t="s">
        <v>737</v>
      </c>
      <c r="O235" s="1" t="s">
        <v>31</v>
      </c>
      <c r="P235" s="1" t="s">
        <v>789</v>
      </c>
      <c r="Q235" s="1" t="s">
        <v>948</v>
      </c>
      <c r="R235" s="1" t="s">
        <v>949</v>
      </c>
      <c r="S235" s="1" t="s">
        <v>950</v>
      </c>
      <c r="T235" s="1" t="s">
        <v>3382</v>
      </c>
      <c r="U235" s="1" t="s">
        <v>31</v>
      </c>
      <c r="V235" s="5"/>
      <c r="W235" s="5"/>
      <c r="X235" s="5"/>
      <c r="Y235" s="5"/>
      <c r="Z235" s="5"/>
    </row>
    <row r="236" ht="14.25" hidden="1" customHeight="1">
      <c r="A236" s="1" t="s">
        <v>3384</v>
      </c>
      <c r="B236" s="1">
        <v>1.1000485E7</v>
      </c>
      <c r="C236" s="1" t="str">
        <f>VLOOKUP(B236,Equipment!A$1:J$470,9,0)</f>
        <v>E</v>
      </c>
      <c r="D236" s="1" t="s">
        <v>849</v>
      </c>
      <c r="E236" s="1">
        <v>1041.0</v>
      </c>
      <c r="F236" s="1" t="s">
        <v>3391</v>
      </c>
      <c r="G236" s="1" t="s">
        <v>68</v>
      </c>
      <c r="H236" s="1" t="s">
        <v>768</v>
      </c>
      <c r="I236" s="1" t="s">
        <v>2685</v>
      </c>
      <c r="J236" s="1" t="s">
        <v>2685</v>
      </c>
      <c r="K236" s="1" t="s">
        <v>2366</v>
      </c>
      <c r="L236" s="1" t="s">
        <v>1429</v>
      </c>
      <c r="M236" s="1" t="s">
        <v>51</v>
      </c>
      <c r="N236" s="1" t="s">
        <v>737</v>
      </c>
      <c r="O236" s="1" t="s">
        <v>31</v>
      </c>
      <c r="P236" s="1" t="s">
        <v>1430</v>
      </c>
      <c r="Q236" s="1" t="s">
        <v>948</v>
      </c>
      <c r="R236" s="1" t="s">
        <v>965</v>
      </c>
      <c r="S236" s="1" t="s">
        <v>950</v>
      </c>
      <c r="T236" s="1" t="s">
        <v>1431</v>
      </c>
      <c r="U236" s="1" t="s">
        <v>31</v>
      </c>
      <c r="V236" s="5"/>
      <c r="W236" s="5"/>
      <c r="X236" s="5"/>
      <c r="Y236" s="5"/>
      <c r="Z236" s="5"/>
    </row>
    <row r="237" ht="14.25" hidden="1" customHeight="1">
      <c r="A237" s="1" t="s">
        <v>3396</v>
      </c>
      <c r="B237" s="1">
        <v>1.1000592E7</v>
      </c>
      <c r="C237" s="1" t="str">
        <f>VLOOKUP(B237,Equipment!A$1:J$470,9,0)</f>
        <v>E</v>
      </c>
      <c r="D237" s="1" t="s">
        <v>1427</v>
      </c>
      <c r="E237" s="1">
        <v>1031.0</v>
      </c>
      <c r="F237" s="1" t="s">
        <v>3403</v>
      </c>
      <c r="G237" s="1" t="s">
        <v>3404</v>
      </c>
      <c r="H237" s="1" t="s">
        <v>768</v>
      </c>
      <c r="I237" s="1" t="s">
        <v>2685</v>
      </c>
      <c r="J237" s="1" t="s">
        <v>2685</v>
      </c>
      <c r="K237" s="1" t="s">
        <v>31</v>
      </c>
      <c r="L237" s="1" t="s">
        <v>3407</v>
      </c>
      <c r="M237" s="1" t="s">
        <v>51</v>
      </c>
      <c r="N237" s="1" t="s">
        <v>737</v>
      </c>
      <c r="O237" s="1" t="s">
        <v>31</v>
      </c>
      <c r="P237" s="1" t="s">
        <v>776</v>
      </c>
      <c r="Q237" s="1" t="s">
        <v>948</v>
      </c>
      <c r="R237" s="1" t="s">
        <v>3408</v>
      </c>
      <c r="S237" s="1" t="s">
        <v>983</v>
      </c>
      <c r="T237" s="1" t="s">
        <v>3409</v>
      </c>
      <c r="U237" s="1" t="s">
        <v>31</v>
      </c>
      <c r="V237" s="5"/>
      <c r="W237" s="5"/>
      <c r="X237" s="5"/>
      <c r="Y237" s="5"/>
      <c r="Z237" s="5"/>
    </row>
    <row r="238" ht="14.25" hidden="1" customHeight="1">
      <c r="A238" s="1" t="s">
        <v>3410</v>
      </c>
      <c r="B238" s="1">
        <v>1.1001303E7</v>
      </c>
      <c r="C238" s="1" t="str">
        <f>VLOOKUP(B238,Equipment!A$1:J$470,9,0)</f>
        <v>E</v>
      </c>
      <c r="D238" s="1" t="s">
        <v>649</v>
      </c>
      <c r="E238" s="1">
        <v>1041.0</v>
      </c>
      <c r="F238" s="1" t="s">
        <v>3420</v>
      </c>
      <c r="G238" s="1" t="s">
        <v>121</v>
      </c>
      <c r="H238" s="1" t="s">
        <v>768</v>
      </c>
      <c r="I238" s="1" t="s">
        <v>2685</v>
      </c>
      <c r="J238" s="1" t="s">
        <v>2685</v>
      </c>
      <c r="K238" s="1" t="s">
        <v>1033</v>
      </c>
      <c r="L238" s="1" t="s">
        <v>3422</v>
      </c>
      <c r="M238" s="1" t="s">
        <v>51</v>
      </c>
      <c r="N238" s="1" t="s">
        <v>737</v>
      </c>
      <c r="O238" s="1" t="s">
        <v>31</v>
      </c>
      <c r="P238" s="1" t="s">
        <v>828</v>
      </c>
      <c r="Q238" s="1" t="s">
        <v>948</v>
      </c>
      <c r="R238" s="1" t="s">
        <v>3425</v>
      </c>
      <c r="S238" s="1" t="s">
        <v>950</v>
      </c>
      <c r="T238" s="1" t="s">
        <v>3426</v>
      </c>
      <c r="U238" s="1" t="s">
        <v>31</v>
      </c>
      <c r="V238" s="5"/>
      <c r="W238" s="5"/>
      <c r="X238" s="5"/>
      <c r="Y238" s="5"/>
      <c r="Z238" s="5"/>
    </row>
    <row r="239" ht="14.25" hidden="1" customHeight="1">
      <c r="A239" s="1" t="s">
        <v>3427</v>
      </c>
      <c r="B239" s="1">
        <v>1.100141E7</v>
      </c>
      <c r="C239" s="1" t="str">
        <f>VLOOKUP(B239,Equipment!A$1:J$470,9,0)</f>
        <v>E</v>
      </c>
      <c r="D239" s="1" t="s">
        <v>3052</v>
      </c>
      <c r="E239" s="1">
        <v>2001.0</v>
      </c>
      <c r="F239" s="1" t="s">
        <v>3447</v>
      </c>
      <c r="G239" s="1" t="s">
        <v>131</v>
      </c>
      <c r="H239" s="1" t="s">
        <v>768</v>
      </c>
      <c r="I239" s="1" t="s">
        <v>2685</v>
      </c>
      <c r="J239" s="1" t="s">
        <v>2685</v>
      </c>
      <c r="K239" s="1" t="s">
        <v>2685</v>
      </c>
      <c r="L239" s="1" t="s">
        <v>3450</v>
      </c>
      <c r="M239" s="1" t="s">
        <v>51</v>
      </c>
      <c r="N239" s="1" t="s">
        <v>737</v>
      </c>
      <c r="O239" s="1" t="s">
        <v>31</v>
      </c>
      <c r="P239" s="1" t="s">
        <v>859</v>
      </c>
      <c r="Q239" s="1" t="s">
        <v>777</v>
      </c>
      <c r="R239" s="1" t="s">
        <v>131</v>
      </c>
      <c r="S239" s="1" t="s">
        <v>779</v>
      </c>
      <c r="T239" s="1" t="s">
        <v>3453</v>
      </c>
      <c r="U239" s="1" t="s">
        <v>31</v>
      </c>
      <c r="V239" s="5"/>
      <c r="W239" s="5"/>
      <c r="X239" s="5"/>
      <c r="Y239" s="5"/>
      <c r="Z239" s="5"/>
    </row>
    <row r="240" ht="14.25" hidden="1" customHeight="1">
      <c r="A240" s="1" t="s">
        <v>3458</v>
      </c>
      <c r="B240" s="1">
        <v>2.1001092E7</v>
      </c>
      <c r="C240" s="1" t="str">
        <f>VLOOKUP(B240,Equipment!A$1:J$470,9,0)</f>
        <v>#N/A</v>
      </c>
      <c r="D240" s="1" t="s">
        <v>3461</v>
      </c>
      <c r="E240" s="1">
        <v>1002.0</v>
      </c>
      <c r="F240" s="1" t="s">
        <v>2120</v>
      </c>
      <c r="G240" s="1" t="s">
        <v>1082</v>
      </c>
      <c r="H240" s="1" t="s">
        <v>768</v>
      </c>
      <c r="I240" s="1" t="s">
        <v>2685</v>
      </c>
      <c r="J240" s="1" t="s">
        <v>2685</v>
      </c>
      <c r="K240" s="1" t="s">
        <v>2685</v>
      </c>
      <c r="L240" s="1" t="s">
        <v>2121</v>
      </c>
      <c r="M240" s="1" t="s">
        <v>51</v>
      </c>
      <c r="N240" s="1" t="s">
        <v>737</v>
      </c>
      <c r="O240" s="1" t="s">
        <v>31</v>
      </c>
      <c r="P240" s="1" t="s">
        <v>859</v>
      </c>
      <c r="Q240" s="1" t="s">
        <v>948</v>
      </c>
      <c r="R240" s="1" t="s">
        <v>2166</v>
      </c>
      <c r="S240" s="1" t="s">
        <v>1000</v>
      </c>
      <c r="T240" s="1" t="s">
        <v>1018</v>
      </c>
      <c r="U240" s="1" t="s">
        <v>31</v>
      </c>
      <c r="V240" s="5"/>
      <c r="W240" s="5"/>
      <c r="X240" s="5"/>
      <c r="Y240" s="5"/>
      <c r="Z240" s="5"/>
    </row>
    <row r="241" ht="14.25" hidden="1" customHeight="1">
      <c r="A241" s="1" t="s">
        <v>3465</v>
      </c>
      <c r="B241" s="1">
        <v>1.1000008E7</v>
      </c>
      <c r="C241" s="1" t="str">
        <f>VLOOKUP(B241,Equipment!A$1:J$470,9,0)</f>
        <v>E</v>
      </c>
      <c r="D241" s="1" t="s">
        <v>105</v>
      </c>
      <c r="E241" s="1">
        <v>1001.0</v>
      </c>
      <c r="F241" s="1" t="s">
        <v>766</v>
      </c>
      <c r="G241" s="1" t="s">
        <v>1132</v>
      </c>
      <c r="H241" s="1" t="s">
        <v>768</v>
      </c>
      <c r="I241" s="1" t="s">
        <v>2366</v>
      </c>
      <c r="J241" s="1" t="s">
        <v>2366</v>
      </c>
      <c r="K241" s="1" t="s">
        <v>2366</v>
      </c>
      <c r="L241" s="1" t="s">
        <v>1134</v>
      </c>
      <c r="M241" s="1" t="s">
        <v>51</v>
      </c>
      <c r="N241" s="1" t="s">
        <v>737</v>
      </c>
      <c r="O241" s="1" t="s">
        <v>31</v>
      </c>
      <c r="P241" s="1" t="s">
        <v>776</v>
      </c>
      <c r="Q241" s="1" t="s">
        <v>948</v>
      </c>
      <c r="R241" s="1" t="s">
        <v>3472</v>
      </c>
      <c r="S241" s="1" t="s">
        <v>1139</v>
      </c>
      <c r="T241" s="1" t="s">
        <v>1140</v>
      </c>
      <c r="U241" s="1" t="s">
        <v>31</v>
      </c>
      <c r="V241" s="5"/>
      <c r="W241" s="5"/>
      <c r="X241" s="5"/>
      <c r="Y241" s="5"/>
      <c r="Z241" s="5"/>
    </row>
    <row r="242" ht="14.25" hidden="1" customHeight="1">
      <c r="A242" s="1" t="s">
        <v>3474</v>
      </c>
      <c r="B242" s="1">
        <v>1.1000216E7</v>
      </c>
      <c r="C242" s="1" t="str">
        <f>VLOOKUP(B242,Equipment!A$1:J$470,9,0)</f>
        <v>E</v>
      </c>
      <c r="D242" s="1" t="s">
        <v>444</v>
      </c>
      <c r="E242" s="1">
        <v>2001.0</v>
      </c>
      <c r="F242" s="1" t="s">
        <v>785</v>
      </c>
      <c r="G242" s="1" t="s">
        <v>1176</v>
      </c>
      <c r="H242" s="1" t="s">
        <v>768</v>
      </c>
      <c r="I242" s="1" t="s">
        <v>2366</v>
      </c>
      <c r="J242" s="1" t="s">
        <v>2366</v>
      </c>
      <c r="K242" s="1" t="s">
        <v>2366</v>
      </c>
      <c r="L242" s="1" t="s">
        <v>3475</v>
      </c>
      <c r="M242" s="1" t="s">
        <v>51</v>
      </c>
      <c r="N242" s="1" t="s">
        <v>737</v>
      </c>
      <c r="O242" s="1" t="s">
        <v>31</v>
      </c>
      <c r="P242" s="1" t="s">
        <v>789</v>
      </c>
      <c r="Q242" s="1" t="s">
        <v>777</v>
      </c>
      <c r="R242" s="1" t="s">
        <v>3478</v>
      </c>
      <c r="S242" s="1" t="s">
        <v>779</v>
      </c>
      <c r="T242" s="1" t="s">
        <v>3480</v>
      </c>
      <c r="U242" s="1" t="s">
        <v>31</v>
      </c>
      <c r="V242" s="5"/>
      <c r="W242" s="5"/>
      <c r="X242" s="5"/>
      <c r="Y242" s="5"/>
      <c r="Z242" s="5"/>
    </row>
    <row r="243" ht="14.25" hidden="1" customHeight="1">
      <c r="A243" s="1" t="s">
        <v>3483</v>
      </c>
      <c r="B243" s="1">
        <v>1.1000316E7</v>
      </c>
      <c r="C243" s="1" t="str">
        <f>VLOOKUP(B243,Equipment!A$1:J$470,9,0)</f>
        <v>E</v>
      </c>
      <c r="D243" s="1" t="s">
        <v>488</v>
      </c>
      <c r="E243" s="1">
        <v>2001.0</v>
      </c>
      <c r="F243" s="1" t="s">
        <v>785</v>
      </c>
      <c r="G243" s="1" t="s">
        <v>491</v>
      </c>
      <c r="H243" s="1" t="s">
        <v>768</v>
      </c>
      <c r="I243" s="1" t="s">
        <v>2366</v>
      </c>
      <c r="J243" s="1" t="s">
        <v>2366</v>
      </c>
      <c r="K243" s="1" t="s">
        <v>2366</v>
      </c>
      <c r="L243" s="1" t="s">
        <v>3120</v>
      </c>
      <c r="M243" s="1" t="s">
        <v>51</v>
      </c>
      <c r="N243" s="1" t="s">
        <v>737</v>
      </c>
      <c r="O243" s="1" t="s">
        <v>31</v>
      </c>
      <c r="P243" s="1" t="s">
        <v>789</v>
      </c>
      <c r="Q243" s="1" t="s">
        <v>777</v>
      </c>
      <c r="R243" s="1" t="s">
        <v>895</v>
      </c>
      <c r="S243" s="1" t="s">
        <v>779</v>
      </c>
      <c r="T243" s="1" t="s">
        <v>3126</v>
      </c>
      <c r="U243" s="1" t="s">
        <v>31</v>
      </c>
      <c r="V243" s="5"/>
      <c r="W243" s="5"/>
      <c r="X243" s="5"/>
      <c r="Y243" s="5"/>
      <c r="Z243" s="5"/>
    </row>
    <row r="244" ht="14.25" hidden="1" customHeight="1">
      <c r="A244" s="1" t="s">
        <v>3494</v>
      </c>
      <c r="B244" s="1">
        <v>1.1000316E7</v>
      </c>
      <c r="C244" s="1" t="str">
        <f>VLOOKUP(B244,Equipment!A$1:J$470,9,0)</f>
        <v>E</v>
      </c>
      <c r="D244" s="1" t="s">
        <v>488</v>
      </c>
      <c r="E244" s="1">
        <v>2001.0</v>
      </c>
      <c r="F244" s="1" t="s">
        <v>766</v>
      </c>
      <c r="G244" s="1" t="s">
        <v>491</v>
      </c>
      <c r="H244" s="1" t="s">
        <v>768</v>
      </c>
      <c r="I244" s="1" t="s">
        <v>2366</v>
      </c>
      <c r="J244" s="1" t="s">
        <v>2366</v>
      </c>
      <c r="K244" s="1" t="s">
        <v>2366</v>
      </c>
      <c r="L244" s="1" t="s">
        <v>3120</v>
      </c>
      <c r="M244" s="1" t="s">
        <v>51</v>
      </c>
      <c r="N244" s="1" t="s">
        <v>737</v>
      </c>
      <c r="O244" s="1" t="s">
        <v>31</v>
      </c>
      <c r="P244" s="1" t="s">
        <v>776</v>
      </c>
      <c r="Q244" s="1" t="s">
        <v>777</v>
      </c>
      <c r="R244" s="1" t="s">
        <v>895</v>
      </c>
      <c r="S244" s="1" t="s">
        <v>779</v>
      </c>
      <c r="T244" s="1" t="s">
        <v>3126</v>
      </c>
      <c r="U244" s="1" t="s">
        <v>31</v>
      </c>
      <c r="V244" s="5"/>
      <c r="W244" s="5"/>
      <c r="X244" s="5"/>
      <c r="Y244" s="5"/>
      <c r="Z244" s="5"/>
    </row>
    <row r="245" ht="14.25" hidden="1" customHeight="1">
      <c r="A245" s="1" t="s">
        <v>3502</v>
      </c>
      <c r="B245" s="1">
        <v>1.1000316E7</v>
      </c>
      <c r="C245" s="1" t="str">
        <f>VLOOKUP(B245,Equipment!A$1:J$470,9,0)</f>
        <v>E</v>
      </c>
      <c r="D245" s="1" t="s">
        <v>488</v>
      </c>
      <c r="E245" s="1">
        <v>2001.0</v>
      </c>
      <c r="F245" s="1" t="s">
        <v>857</v>
      </c>
      <c r="G245" s="1" t="s">
        <v>491</v>
      </c>
      <c r="H245" s="1" t="s">
        <v>768</v>
      </c>
      <c r="I245" s="1" t="s">
        <v>2366</v>
      </c>
      <c r="J245" s="1" t="s">
        <v>2366</v>
      </c>
      <c r="K245" s="1" t="s">
        <v>2366</v>
      </c>
      <c r="L245" s="1" t="s">
        <v>3120</v>
      </c>
      <c r="M245" s="1" t="s">
        <v>51</v>
      </c>
      <c r="N245" s="1" t="s">
        <v>737</v>
      </c>
      <c r="O245" s="1" t="s">
        <v>31</v>
      </c>
      <c r="P245" s="1" t="s">
        <v>859</v>
      </c>
      <c r="Q245" s="1" t="s">
        <v>777</v>
      </c>
      <c r="R245" s="1" t="s">
        <v>895</v>
      </c>
      <c r="S245" s="1" t="s">
        <v>779</v>
      </c>
      <c r="T245" s="1" t="s">
        <v>3126</v>
      </c>
      <c r="U245" s="1" t="s">
        <v>31</v>
      </c>
      <c r="V245" s="5"/>
      <c r="W245" s="5"/>
      <c r="X245" s="5"/>
      <c r="Y245" s="5"/>
      <c r="Z245" s="5"/>
    </row>
    <row r="246" ht="14.25" hidden="1" customHeight="1">
      <c r="A246" s="1" t="s">
        <v>3513</v>
      </c>
      <c r="B246" s="1">
        <v>1.1000319E7</v>
      </c>
      <c r="C246" s="1" t="str">
        <f>VLOOKUP(B246,Equipment!A$1:J$470,9,0)</f>
        <v>E</v>
      </c>
      <c r="D246" s="1" t="s">
        <v>688</v>
      </c>
      <c r="E246" s="1">
        <v>2001.0</v>
      </c>
      <c r="F246" s="1" t="s">
        <v>857</v>
      </c>
      <c r="G246" s="1" t="s">
        <v>491</v>
      </c>
      <c r="H246" s="1" t="s">
        <v>768</v>
      </c>
      <c r="I246" s="1" t="s">
        <v>2366</v>
      </c>
      <c r="J246" s="1" t="s">
        <v>2366</v>
      </c>
      <c r="K246" s="1" t="s">
        <v>2366</v>
      </c>
      <c r="L246" s="1" t="s">
        <v>3520</v>
      </c>
      <c r="M246" s="1" t="s">
        <v>51</v>
      </c>
      <c r="N246" s="1" t="s">
        <v>737</v>
      </c>
      <c r="O246" s="1" t="s">
        <v>31</v>
      </c>
      <c r="P246" s="1" t="s">
        <v>859</v>
      </c>
      <c r="Q246" s="1" t="s">
        <v>777</v>
      </c>
      <c r="R246" s="1" t="s">
        <v>928</v>
      </c>
      <c r="S246" s="1" t="s">
        <v>779</v>
      </c>
      <c r="T246" s="1" t="s">
        <v>3521</v>
      </c>
      <c r="U246" s="1" t="s">
        <v>31</v>
      </c>
      <c r="V246" s="5"/>
      <c r="W246" s="5"/>
      <c r="X246" s="5"/>
      <c r="Y246" s="5"/>
      <c r="Z246" s="5"/>
    </row>
    <row r="247" ht="14.25" hidden="1" customHeight="1">
      <c r="A247" s="1" t="s">
        <v>3522</v>
      </c>
      <c r="B247" s="1">
        <v>1.1000319E7</v>
      </c>
      <c r="C247" s="1" t="str">
        <f>VLOOKUP(B247,Equipment!A$1:J$470,9,0)</f>
        <v>E</v>
      </c>
      <c r="D247" s="1" t="s">
        <v>688</v>
      </c>
      <c r="E247" s="1">
        <v>2001.0</v>
      </c>
      <c r="F247" s="1" t="s">
        <v>785</v>
      </c>
      <c r="G247" s="1" t="s">
        <v>491</v>
      </c>
      <c r="H247" s="1" t="s">
        <v>768</v>
      </c>
      <c r="I247" s="1" t="s">
        <v>2366</v>
      </c>
      <c r="J247" s="1" t="s">
        <v>2366</v>
      </c>
      <c r="K247" s="1" t="s">
        <v>2366</v>
      </c>
      <c r="L247" s="1" t="s">
        <v>3520</v>
      </c>
      <c r="M247" s="1" t="s">
        <v>51</v>
      </c>
      <c r="N247" s="1" t="s">
        <v>737</v>
      </c>
      <c r="O247" s="1" t="s">
        <v>31</v>
      </c>
      <c r="P247" s="1" t="s">
        <v>2184</v>
      </c>
      <c r="Q247" s="1" t="s">
        <v>777</v>
      </c>
      <c r="R247" s="1" t="s">
        <v>928</v>
      </c>
      <c r="S247" s="1" t="s">
        <v>779</v>
      </c>
      <c r="T247" s="1" t="s">
        <v>3521</v>
      </c>
      <c r="U247" s="1" t="s">
        <v>31</v>
      </c>
      <c r="V247" s="5"/>
      <c r="W247" s="5"/>
      <c r="X247" s="5"/>
      <c r="Y247" s="5"/>
      <c r="Z247" s="5"/>
    </row>
    <row r="248" ht="14.25" hidden="1" customHeight="1">
      <c r="A248" s="1" t="s">
        <v>3534</v>
      </c>
      <c r="B248" s="1">
        <v>1.1000319E7</v>
      </c>
      <c r="C248" s="1" t="str">
        <f>VLOOKUP(B248,Equipment!A$1:J$470,9,0)</f>
        <v>E</v>
      </c>
      <c r="D248" s="1" t="s">
        <v>688</v>
      </c>
      <c r="E248" s="1">
        <v>2001.0</v>
      </c>
      <c r="F248" s="1" t="s">
        <v>846</v>
      </c>
      <c r="G248" s="1" t="s">
        <v>491</v>
      </c>
      <c r="H248" s="1" t="s">
        <v>768</v>
      </c>
      <c r="I248" s="1" t="s">
        <v>2366</v>
      </c>
      <c r="J248" s="1" t="s">
        <v>2366</v>
      </c>
      <c r="K248" s="1" t="s">
        <v>2366</v>
      </c>
      <c r="L248" s="1" t="s">
        <v>3520</v>
      </c>
      <c r="M248" s="1" t="s">
        <v>51</v>
      </c>
      <c r="N248" s="1" t="s">
        <v>737</v>
      </c>
      <c r="O248" s="1" t="s">
        <v>31</v>
      </c>
      <c r="P248" s="1" t="s">
        <v>850</v>
      </c>
      <c r="Q248" s="1" t="s">
        <v>777</v>
      </c>
      <c r="R248" s="1" t="s">
        <v>928</v>
      </c>
      <c r="S248" s="1" t="s">
        <v>779</v>
      </c>
      <c r="T248" s="1" t="s">
        <v>3521</v>
      </c>
      <c r="U248" s="1" t="s">
        <v>31</v>
      </c>
      <c r="V248" s="5"/>
      <c r="W248" s="5"/>
      <c r="X248" s="5"/>
      <c r="Y248" s="5"/>
      <c r="Z248" s="5"/>
    </row>
    <row r="249" ht="14.25" hidden="1" customHeight="1">
      <c r="A249" s="1" t="s">
        <v>3548</v>
      </c>
      <c r="B249" s="1">
        <v>1.1000502E7</v>
      </c>
      <c r="C249" s="1" t="str">
        <f>VLOOKUP(B249,Equipment!A$1:J$470,9,0)</f>
        <v>E</v>
      </c>
      <c r="D249" s="1" t="s">
        <v>1073</v>
      </c>
      <c r="E249" s="1">
        <v>1041.0</v>
      </c>
      <c r="F249" s="1" t="s">
        <v>3554</v>
      </c>
      <c r="G249" s="1" t="s">
        <v>68</v>
      </c>
      <c r="H249" s="1" t="s">
        <v>768</v>
      </c>
      <c r="I249" s="1" t="s">
        <v>2366</v>
      </c>
      <c r="J249" s="1" t="s">
        <v>2366</v>
      </c>
      <c r="K249" s="1" t="s">
        <v>1033</v>
      </c>
      <c r="L249" s="1" t="s">
        <v>1429</v>
      </c>
      <c r="M249" s="1" t="s">
        <v>51</v>
      </c>
      <c r="N249" s="1" t="s">
        <v>737</v>
      </c>
      <c r="O249" s="1" t="s">
        <v>31</v>
      </c>
      <c r="P249" s="1" t="s">
        <v>789</v>
      </c>
      <c r="Q249" s="1" t="s">
        <v>948</v>
      </c>
      <c r="R249" s="1" t="s">
        <v>965</v>
      </c>
      <c r="S249" s="1" t="s">
        <v>950</v>
      </c>
      <c r="T249" s="1" t="s">
        <v>3560</v>
      </c>
      <c r="U249" s="1" t="s">
        <v>31</v>
      </c>
      <c r="V249" s="5"/>
      <c r="W249" s="5"/>
      <c r="X249" s="5"/>
      <c r="Y249" s="5"/>
      <c r="Z249" s="5"/>
    </row>
    <row r="250" ht="14.25" hidden="1" customHeight="1">
      <c r="A250" s="1" t="s">
        <v>3561</v>
      </c>
      <c r="B250" s="1">
        <v>1.1000844E7</v>
      </c>
      <c r="C250" s="1" t="str">
        <f>VLOOKUP(B250,Equipment!A$1:J$470,9,0)</f>
        <v>E</v>
      </c>
      <c r="D250" s="1" t="s">
        <v>1939</v>
      </c>
      <c r="E250" s="1">
        <v>1002.0</v>
      </c>
      <c r="F250" s="1" t="s">
        <v>1282</v>
      </c>
      <c r="G250" s="1" t="s">
        <v>131</v>
      </c>
      <c r="H250" s="1" t="s">
        <v>768</v>
      </c>
      <c r="I250" s="1" t="s">
        <v>2366</v>
      </c>
      <c r="J250" s="1" t="s">
        <v>2366</v>
      </c>
      <c r="K250" s="1" t="s">
        <v>2366</v>
      </c>
      <c r="L250" s="1" t="s">
        <v>1269</v>
      </c>
      <c r="M250" s="1" t="s">
        <v>51</v>
      </c>
      <c r="N250" s="1" t="s">
        <v>737</v>
      </c>
      <c r="O250" s="1" t="s">
        <v>31</v>
      </c>
      <c r="P250" s="1" t="s">
        <v>1285</v>
      </c>
      <c r="Q250" s="1" t="s">
        <v>948</v>
      </c>
      <c r="R250" s="1" t="s">
        <v>1286</v>
      </c>
      <c r="S250" s="1" t="s">
        <v>1000</v>
      </c>
      <c r="T250" s="1" t="s">
        <v>1288</v>
      </c>
      <c r="U250" s="1" t="s">
        <v>31</v>
      </c>
      <c r="V250" s="5"/>
      <c r="W250" s="5"/>
      <c r="X250" s="5"/>
      <c r="Y250" s="5"/>
      <c r="Z250" s="5"/>
    </row>
    <row r="251" ht="14.25" hidden="1" customHeight="1">
      <c r="A251" s="1" t="s">
        <v>31</v>
      </c>
      <c r="B251" s="1">
        <v>1.1000855E7</v>
      </c>
      <c r="C251" s="1" t="str">
        <f>VLOOKUP(B251,Equipment!A$1:J$470,9,0)</f>
        <v>E</v>
      </c>
      <c r="D251" s="1" t="s">
        <v>1996</v>
      </c>
      <c r="E251" s="1">
        <v>1201.0</v>
      </c>
      <c r="F251" s="1" t="s">
        <v>1459</v>
      </c>
      <c r="G251" s="1" t="s">
        <v>1015</v>
      </c>
      <c r="H251" s="1" t="s">
        <v>31</v>
      </c>
      <c r="I251" s="1" t="s">
        <v>2366</v>
      </c>
      <c r="J251" s="1" t="s">
        <v>2366</v>
      </c>
      <c r="K251" s="1" t="s">
        <v>31</v>
      </c>
      <c r="L251" s="1" t="s">
        <v>1460</v>
      </c>
      <c r="M251" s="1" t="s">
        <v>51</v>
      </c>
      <c r="N251" s="1" t="s">
        <v>737</v>
      </c>
      <c r="O251" s="1" t="s">
        <v>31</v>
      </c>
      <c r="P251" s="1" t="s">
        <v>1086</v>
      </c>
      <c r="Q251" s="1" t="s">
        <v>948</v>
      </c>
      <c r="R251" s="1" t="s">
        <v>1461</v>
      </c>
      <c r="S251" s="1" t="s">
        <v>1462</v>
      </c>
      <c r="T251" s="1" t="s">
        <v>31</v>
      </c>
      <c r="U251" s="1" t="s">
        <v>31</v>
      </c>
      <c r="V251" s="5"/>
      <c r="W251" s="5"/>
      <c r="X251" s="5"/>
      <c r="Y251" s="5"/>
      <c r="Z251" s="5"/>
    </row>
    <row r="252" ht="14.25" hidden="1" customHeight="1">
      <c r="A252" s="1" t="s">
        <v>3584</v>
      </c>
      <c r="B252" s="1">
        <v>2.1000481E7</v>
      </c>
      <c r="C252" s="1" t="str">
        <f>VLOOKUP(B252,Equipment!A$1:J$470,9,0)</f>
        <v>#N/A</v>
      </c>
      <c r="D252" s="1" t="s">
        <v>3454</v>
      </c>
      <c r="E252" s="1">
        <v>2001.0</v>
      </c>
      <c r="F252" s="1" t="s">
        <v>785</v>
      </c>
      <c r="G252" s="1" t="s">
        <v>1082</v>
      </c>
      <c r="H252" s="1" t="s">
        <v>768</v>
      </c>
      <c r="I252" s="1" t="s">
        <v>2366</v>
      </c>
      <c r="J252" s="1" t="s">
        <v>2366</v>
      </c>
      <c r="K252" s="1" t="s">
        <v>2366</v>
      </c>
      <c r="L252" s="1" t="s">
        <v>2407</v>
      </c>
      <c r="M252" s="1" t="s">
        <v>51</v>
      </c>
      <c r="N252" s="1" t="s">
        <v>737</v>
      </c>
      <c r="O252" s="1" t="s">
        <v>31</v>
      </c>
      <c r="P252" s="1" t="s">
        <v>789</v>
      </c>
      <c r="Q252" s="1" t="s">
        <v>777</v>
      </c>
      <c r="R252" s="1" t="s">
        <v>2166</v>
      </c>
      <c r="S252" s="1" t="s">
        <v>779</v>
      </c>
      <c r="T252" s="1" t="s">
        <v>2409</v>
      </c>
      <c r="U252" s="1" t="s">
        <v>31</v>
      </c>
      <c r="V252" s="5"/>
      <c r="W252" s="5"/>
      <c r="X252" s="5"/>
      <c r="Y252" s="5"/>
      <c r="Z252" s="5"/>
    </row>
    <row r="253" ht="14.25" hidden="1" customHeight="1">
      <c r="A253" s="1" t="s">
        <v>3593</v>
      </c>
      <c r="B253" s="1">
        <v>2.1000792E7</v>
      </c>
      <c r="C253" s="1" t="str">
        <f>VLOOKUP(B253,Equipment!A$1:J$470,9,0)</f>
        <v>#N/A</v>
      </c>
      <c r="D253" s="1" t="s">
        <v>3562</v>
      </c>
      <c r="E253" s="1">
        <v>1031.0</v>
      </c>
      <c r="F253" s="1" t="s">
        <v>3600</v>
      </c>
      <c r="G253" s="1" t="s">
        <v>1082</v>
      </c>
      <c r="H253" s="1" t="s">
        <v>768</v>
      </c>
      <c r="I253" s="1" t="s">
        <v>2366</v>
      </c>
      <c r="J253" s="1" t="s">
        <v>2366</v>
      </c>
      <c r="K253" s="1" t="s">
        <v>31</v>
      </c>
      <c r="L253" s="1" t="s">
        <v>1085</v>
      </c>
      <c r="M253" s="1" t="s">
        <v>51</v>
      </c>
      <c r="N253" s="1" t="s">
        <v>737</v>
      </c>
      <c r="O253" s="1" t="s">
        <v>31</v>
      </c>
      <c r="P253" s="1" t="s">
        <v>789</v>
      </c>
      <c r="Q253" s="1" t="s">
        <v>948</v>
      </c>
      <c r="R253" s="1" t="s">
        <v>2152</v>
      </c>
      <c r="S253" s="1" t="s">
        <v>983</v>
      </c>
      <c r="T253" s="1" t="s">
        <v>1089</v>
      </c>
      <c r="U253" s="1" t="s">
        <v>31</v>
      </c>
      <c r="V253" s="5"/>
      <c r="W253" s="5"/>
      <c r="X253" s="5"/>
      <c r="Y253" s="5"/>
      <c r="Z253" s="5"/>
    </row>
    <row r="254" ht="14.25" hidden="1" customHeight="1">
      <c r="A254" s="1" t="s">
        <v>3604</v>
      </c>
      <c r="B254" s="1">
        <v>2.1000996E7</v>
      </c>
      <c r="C254" s="1" t="str">
        <f>VLOOKUP(B254,Equipment!A$1:J$470,9,0)</f>
        <v>#N/A</v>
      </c>
      <c r="D254" s="1" t="s">
        <v>3606</v>
      </c>
      <c r="E254" s="1">
        <v>1004.0</v>
      </c>
      <c r="F254" s="1" t="s">
        <v>3607</v>
      </c>
      <c r="G254" s="1" t="s">
        <v>1361</v>
      </c>
      <c r="H254" s="1" t="s">
        <v>768</v>
      </c>
      <c r="I254" s="1" t="s">
        <v>2366</v>
      </c>
      <c r="J254" s="1" t="s">
        <v>2366</v>
      </c>
      <c r="K254" s="1" t="s">
        <v>2366</v>
      </c>
      <c r="L254" s="1" t="s">
        <v>1213</v>
      </c>
      <c r="M254" s="1" t="s">
        <v>51</v>
      </c>
      <c r="N254" s="1" t="s">
        <v>737</v>
      </c>
      <c r="O254" s="1" t="s">
        <v>31</v>
      </c>
      <c r="P254" s="1" t="s">
        <v>1215</v>
      </c>
      <c r="Q254" s="1" t="s">
        <v>948</v>
      </c>
      <c r="R254" s="1" t="s">
        <v>1361</v>
      </c>
      <c r="S254" s="1" t="s">
        <v>1220</v>
      </c>
      <c r="T254" s="1" t="s">
        <v>1222</v>
      </c>
      <c r="U254" s="1" t="s">
        <v>31</v>
      </c>
      <c r="V254" s="5"/>
      <c r="W254" s="5"/>
      <c r="X254" s="5"/>
      <c r="Y254" s="5"/>
      <c r="Z254" s="5"/>
    </row>
    <row r="255" ht="14.25" hidden="1" customHeight="1">
      <c r="A255" s="1" t="s">
        <v>3608</v>
      </c>
      <c r="B255" s="1">
        <v>1.1000304E7</v>
      </c>
      <c r="C255" s="1" t="str">
        <f>VLOOKUP(B255,Equipment!A$1:J$470,9,0)</f>
        <v>E</v>
      </c>
      <c r="D255" s="1" t="s">
        <v>624</v>
      </c>
      <c r="E255" s="1">
        <v>2001.0</v>
      </c>
      <c r="F255" s="1" t="s">
        <v>3615</v>
      </c>
      <c r="G255" s="1" t="s">
        <v>1176</v>
      </c>
      <c r="H255" s="1" t="s">
        <v>768</v>
      </c>
      <c r="I255" s="1" t="s">
        <v>1033</v>
      </c>
      <c r="J255" s="1" t="s">
        <v>1033</v>
      </c>
      <c r="K255" s="1" t="s">
        <v>1033</v>
      </c>
      <c r="L255" s="1" t="s">
        <v>3287</v>
      </c>
      <c r="M255" s="1" t="s">
        <v>51</v>
      </c>
      <c r="N255" s="1" t="s">
        <v>737</v>
      </c>
      <c r="O255" s="1" t="s">
        <v>31</v>
      </c>
      <c r="P255" s="1" t="s">
        <v>859</v>
      </c>
      <c r="Q255" s="1" t="s">
        <v>777</v>
      </c>
      <c r="R255" s="1" t="s">
        <v>1138</v>
      </c>
      <c r="S255" s="1" t="s">
        <v>779</v>
      </c>
      <c r="T255" s="1" t="s">
        <v>3288</v>
      </c>
      <c r="U255" s="1" t="s">
        <v>31</v>
      </c>
      <c r="V255" s="5"/>
      <c r="W255" s="5"/>
      <c r="X255" s="5"/>
      <c r="Y255" s="5"/>
      <c r="Z255" s="5"/>
    </row>
    <row r="256" ht="14.25" hidden="1" customHeight="1">
      <c r="A256" s="1" t="s">
        <v>3619</v>
      </c>
      <c r="B256" s="1">
        <v>1.1000304E7</v>
      </c>
      <c r="C256" s="1" t="str">
        <f>VLOOKUP(B256,Equipment!A$1:J$470,9,0)</f>
        <v>E</v>
      </c>
      <c r="D256" s="1" t="s">
        <v>624</v>
      </c>
      <c r="E256" s="1">
        <v>2001.0</v>
      </c>
      <c r="F256" s="1" t="s">
        <v>846</v>
      </c>
      <c r="G256" s="1" t="s">
        <v>1176</v>
      </c>
      <c r="H256" s="1" t="s">
        <v>768</v>
      </c>
      <c r="I256" s="1" t="s">
        <v>1033</v>
      </c>
      <c r="J256" s="1" t="s">
        <v>1033</v>
      </c>
      <c r="K256" s="1" t="s">
        <v>1033</v>
      </c>
      <c r="L256" s="1" t="s">
        <v>3287</v>
      </c>
      <c r="M256" s="1" t="s">
        <v>51</v>
      </c>
      <c r="N256" s="1" t="s">
        <v>737</v>
      </c>
      <c r="O256" s="1" t="s">
        <v>31</v>
      </c>
      <c r="P256" s="1" t="s">
        <v>850</v>
      </c>
      <c r="Q256" s="1" t="s">
        <v>777</v>
      </c>
      <c r="R256" s="1" t="s">
        <v>1138</v>
      </c>
      <c r="S256" s="1" t="s">
        <v>779</v>
      </c>
      <c r="T256" s="1" t="s">
        <v>3288</v>
      </c>
      <c r="U256" s="1" t="s">
        <v>31</v>
      </c>
      <c r="V256" s="5"/>
      <c r="W256" s="5"/>
      <c r="X256" s="5"/>
      <c r="Y256" s="5"/>
      <c r="Z256" s="5"/>
    </row>
    <row r="257" ht="14.25" hidden="1" customHeight="1">
      <c r="A257" s="1" t="s">
        <v>3629</v>
      </c>
      <c r="B257" s="1">
        <v>1.1000318E7</v>
      </c>
      <c r="C257" s="1" t="str">
        <f>VLOOKUP(B257,Equipment!A$1:J$470,9,0)</f>
        <v>E</v>
      </c>
      <c r="D257" s="1" t="s">
        <v>510</v>
      </c>
      <c r="E257" s="1">
        <v>2001.0</v>
      </c>
      <c r="F257" s="1" t="s">
        <v>785</v>
      </c>
      <c r="G257" s="1" t="s">
        <v>491</v>
      </c>
      <c r="H257" s="1" t="s">
        <v>768</v>
      </c>
      <c r="I257" s="1" t="s">
        <v>1033</v>
      </c>
      <c r="J257" s="1" t="s">
        <v>1033</v>
      </c>
      <c r="K257" s="1" t="s">
        <v>1033</v>
      </c>
      <c r="L257" s="1" t="s">
        <v>3301</v>
      </c>
      <c r="M257" s="1" t="s">
        <v>51</v>
      </c>
      <c r="N257" s="1" t="s">
        <v>737</v>
      </c>
      <c r="O257" s="1" t="s">
        <v>31</v>
      </c>
      <c r="P257" s="1" t="s">
        <v>789</v>
      </c>
      <c r="Q257" s="1" t="s">
        <v>777</v>
      </c>
      <c r="R257" s="1" t="s">
        <v>928</v>
      </c>
      <c r="S257" s="1" t="s">
        <v>779</v>
      </c>
      <c r="T257" s="1" t="s">
        <v>3302</v>
      </c>
      <c r="U257" s="1" t="s">
        <v>31</v>
      </c>
      <c r="V257" s="5"/>
      <c r="W257" s="5"/>
      <c r="X257" s="5"/>
      <c r="Y257" s="5"/>
      <c r="Z257" s="5"/>
    </row>
    <row r="258" ht="14.25" hidden="1" customHeight="1">
      <c r="A258" s="1" t="s">
        <v>3636</v>
      </c>
      <c r="B258" s="1">
        <v>1.1000318E7</v>
      </c>
      <c r="C258" s="1" t="str">
        <f>VLOOKUP(B258,Equipment!A$1:J$470,9,0)</f>
        <v>E</v>
      </c>
      <c r="D258" s="1" t="s">
        <v>510</v>
      </c>
      <c r="E258" s="1">
        <v>2001.0</v>
      </c>
      <c r="F258" s="1" t="s">
        <v>766</v>
      </c>
      <c r="G258" s="1" t="s">
        <v>491</v>
      </c>
      <c r="H258" s="1" t="s">
        <v>768</v>
      </c>
      <c r="I258" s="1" t="s">
        <v>1033</v>
      </c>
      <c r="J258" s="1" t="s">
        <v>1033</v>
      </c>
      <c r="K258" s="1" t="s">
        <v>1033</v>
      </c>
      <c r="L258" s="1" t="s">
        <v>3301</v>
      </c>
      <c r="M258" s="1" t="s">
        <v>51</v>
      </c>
      <c r="N258" s="1" t="s">
        <v>737</v>
      </c>
      <c r="O258" s="1" t="s">
        <v>31</v>
      </c>
      <c r="P258" s="1" t="s">
        <v>828</v>
      </c>
      <c r="Q258" s="1" t="s">
        <v>777</v>
      </c>
      <c r="R258" s="1" t="s">
        <v>928</v>
      </c>
      <c r="S258" s="1" t="s">
        <v>779</v>
      </c>
      <c r="T258" s="1" t="s">
        <v>3302</v>
      </c>
      <c r="U258" s="1" t="s">
        <v>31</v>
      </c>
      <c r="V258" s="5"/>
      <c r="W258" s="5"/>
      <c r="X258" s="5"/>
      <c r="Y258" s="5"/>
      <c r="Z258" s="5"/>
    </row>
    <row r="259" ht="14.25" hidden="1" customHeight="1">
      <c r="A259" s="1" t="s">
        <v>3646</v>
      </c>
      <c r="B259" s="1">
        <v>1.1000321E7</v>
      </c>
      <c r="C259" s="1" t="str">
        <f>VLOOKUP(B259,Equipment!A$1:J$470,9,0)</f>
        <v>E</v>
      </c>
      <c r="D259" s="1" t="s">
        <v>709</v>
      </c>
      <c r="E259" s="1">
        <v>2001.0</v>
      </c>
      <c r="F259" s="1" t="s">
        <v>846</v>
      </c>
      <c r="G259" s="1" t="s">
        <v>491</v>
      </c>
      <c r="H259" s="1" t="s">
        <v>768</v>
      </c>
      <c r="I259" s="1" t="s">
        <v>1033</v>
      </c>
      <c r="J259" s="1" t="s">
        <v>1033</v>
      </c>
      <c r="K259" s="1" t="s">
        <v>1033</v>
      </c>
      <c r="L259" s="1" t="s">
        <v>3134</v>
      </c>
      <c r="M259" s="1" t="s">
        <v>51</v>
      </c>
      <c r="N259" s="1" t="s">
        <v>737</v>
      </c>
      <c r="O259" s="1" t="s">
        <v>31</v>
      </c>
      <c r="P259" s="1" t="s">
        <v>850</v>
      </c>
      <c r="Q259" s="1" t="s">
        <v>777</v>
      </c>
      <c r="R259" s="1" t="s">
        <v>928</v>
      </c>
      <c r="S259" s="1" t="s">
        <v>779</v>
      </c>
      <c r="T259" s="1" t="s">
        <v>3135</v>
      </c>
      <c r="U259" s="1" t="s">
        <v>31</v>
      </c>
      <c r="V259" s="5"/>
      <c r="W259" s="5"/>
      <c r="X259" s="5"/>
      <c r="Y259" s="5"/>
      <c r="Z259" s="5"/>
    </row>
    <row r="260" ht="14.25" hidden="1" customHeight="1">
      <c r="A260" s="1" t="s">
        <v>3661</v>
      </c>
      <c r="B260" s="1">
        <v>1.1000349E7</v>
      </c>
      <c r="C260" s="1" t="str">
        <f>VLOOKUP(B260,Equipment!A$1:J$470,9,0)</f>
        <v>E</v>
      </c>
      <c r="D260" s="1" t="s">
        <v>805</v>
      </c>
      <c r="E260" s="1">
        <v>2001.0</v>
      </c>
      <c r="F260" s="1" t="s">
        <v>785</v>
      </c>
      <c r="G260" s="1" t="s">
        <v>131</v>
      </c>
      <c r="H260" s="1" t="s">
        <v>768</v>
      </c>
      <c r="I260" s="1" t="s">
        <v>1033</v>
      </c>
      <c r="J260" s="1" t="s">
        <v>1033</v>
      </c>
      <c r="K260" s="1" t="s">
        <v>1033</v>
      </c>
      <c r="L260" s="1" t="s">
        <v>1931</v>
      </c>
      <c r="M260" s="1" t="s">
        <v>51</v>
      </c>
      <c r="N260" s="1" t="s">
        <v>737</v>
      </c>
      <c r="O260" s="1" t="s">
        <v>31</v>
      </c>
      <c r="P260" s="1" t="s">
        <v>789</v>
      </c>
      <c r="Q260" s="1" t="s">
        <v>777</v>
      </c>
      <c r="R260" s="1" t="s">
        <v>928</v>
      </c>
      <c r="S260" s="1" t="s">
        <v>779</v>
      </c>
      <c r="T260" s="1" t="s">
        <v>3675</v>
      </c>
      <c r="U260" s="1" t="s">
        <v>31</v>
      </c>
      <c r="V260" s="5"/>
      <c r="W260" s="5"/>
      <c r="X260" s="5"/>
      <c r="Y260" s="5"/>
      <c r="Z260" s="5"/>
    </row>
    <row r="261" ht="14.25" hidden="1" customHeight="1">
      <c r="A261" s="1" t="s">
        <v>3677</v>
      </c>
      <c r="B261" s="1">
        <v>1.1000385E7</v>
      </c>
      <c r="C261" s="1" t="str">
        <f>VLOOKUP(B261,Equipment!A$1:J$470,9,0)</f>
        <v>E</v>
      </c>
      <c r="D261" s="1" t="s">
        <v>877</v>
      </c>
      <c r="E261" s="1">
        <v>1041.0</v>
      </c>
      <c r="F261" s="1" t="s">
        <v>3682</v>
      </c>
      <c r="G261" s="1" t="s">
        <v>68</v>
      </c>
      <c r="H261" s="1" t="s">
        <v>768</v>
      </c>
      <c r="I261" s="1" t="s">
        <v>1033</v>
      </c>
      <c r="J261" s="1" t="s">
        <v>1033</v>
      </c>
      <c r="K261" s="1" t="s">
        <v>1490</v>
      </c>
      <c r="L261" s="1" t="s">
        <v>3683</v>
      </c>
      <c r="M261" s="1" t="s">
        <v>51</v>
      </c>
      <c r="N261" s="1" t="s">
        <v>737</v>
      </c>
      <c r="O261" s="1" t="s">
        <v>31</v>
      </c>
      <c r="P261" s="1" t="s">
        <v>1345</v>
      </c>
      <c r="Q261" s="1" t="s">
        <v>948</v>
      </c>
      <c r="R261" s="1" t="s">
        <v>949</v>
      </c>
      <c r="S261" s="1" t="s">
        <v>950</v>
      </c>
      <c r="T261" s="1" t="s">
        <v>3684</v>
      </c>
      <c r="U261" s="1" t="s">
        <v>31</v>
      </c>
      <c r="V261" s="5"/>
      <c r="W261" s="5"/>
      <c r="X261" s="5"/>
      <c r="Y261" s="5"/>
      <c r="Z261" s="5"/>
    </row>
    <row r="262" ht="14.25" hidden="1" customHeight="1">
      <c r="A262" s="1" t="s">
        <v>3691</v>
      </c>
      <c r="B262" s="1">
        <v>1.1000398E7</v>
      </c>
      <c r="C262" s="1" t="str">
        <f>VLOOKUP(B262,Equipment!A$1:J$470,9,0)</f>
        <v>E</v>
      </c>
      <c r="D262" s="1" t="s">
        <v>916</v>
      </c>
      <c r="E262" s="1">
        <v>1041.0</v>
      </c>
      <c r="F262" s="1" t="s">
        <v>3694</v>
      </c>
      <c r="G262" s="1" t="s">
        <v>1412</v>
      </c>
      <c r="H262" s="1" t="s">
        <v>768</v>
      </c>
      <c r="I262" s="1" t="s">
        <v>1033</v>
      </c>
      <c r="J262" s="1" t="s">
        <v>1033</v>
      </c>
      <c r="K262" s="1" t="s">
        <v>31</v>
      </c>
      <c r="L262" s="1" t="s">
        <v>1413</v>
      </c>
      <c r="M262" s="1" t="s">
        <v>51</v>
      </c>
      <c r="N262" s="1" t="s">
        <v>737</v>
      </c>
      <c r="O262" s="1" t="s">
        <v>31</v>
      </c>
      <c r="P262" s="1" t="s">
        <v>789</v>
      </c>
      <c r="Q262" s="1" t="s">
        <v>948</v>
      </c>
      <c r="R262" s="1" t="s">
        <v>1414</v>
      </c>
      <c r="S262" s="1" t="s">
        <v>950</v>
      </c>
      <c r="T262" s="1" t="s">
        <v>1415</v>
      </c>
      <c r="U262" s="1" t="s">
        <v>31</v>
      </c>
      <c r="V262" s="5"/>
      <c r="W262" s="5"/>
      <c r="X262" s="5"/>
      <c r="Y262" s="5"/>
      <c r="Z262" s="5"/>
    </row>
    <row r="263" ht="14.25" hidden="1" customHeight="1">
      <c r="A263" s="1" t="s">
        <v>3697</v>
      </c>
      <c r="B263" s="1">
        <v>1.1000481E7</v>
      </c>
      <c r="C263" s="1" t="str">
        <f>VLOOKUP(B263,Equipment!A$1:J$470,9,0)</f>
        <v>E</v>
      </c>
      <c r="D263" s="1" t="s">
        <v>921</v>
      </c>
      <c r="E263" s="1">
        <v>1041.0</v>
      </c>
      <c r="F263" s="1" t="s">
        <v>3699</v>
      </c>
      <c r="G263" s="1" t="s">
        <v>68</v>
      </c>
      <c r="H263" s="1" t="s">
        <v>768</v>
      </c>
      <c r="I263" s="1" t="s">
        <v>1033</v>
      </c>
      <c r="J263" s="1" t="s">
        <v>1033</v>
      </c>
      <c r="K263" s="1" t="s">
        <v>1945</v>
      </c>
      <c r="L263" s="1" t="s">
        <v>1967</v>
      </c>
      <c r="M263" s="1" t="s">
        <v>51</v>
      </c>
      <c r="N263" s="1" t="s">
        <v>737</v>
      </c>
      <c r="O263" s="1" t="s">
        <v>31</v>
      </c>
      <c r="P263" s="1" t="s">
        <v>1345</v>
      </c>
      <c r="Q263" s="1" t="s">
        <v>948</v>
      </c>
      <c r="R263" s="1" t="s">
        <v>965</v>
      </c>
      <c r="S263" s="1" t="s">
        <v>950</v>
      </c>
      <c r="T263" s="1" t="s">
        <v>1972</v>
      </c>
      <c r="U263" s="1" t="s">
        <v>31</v>
      </c>
      <c r="V263" s="5"/>
      <c r="W263" s="5"/>
      <c r="X263" s="5"/>
      <c r="Y263" s="5"/>
      <c r="Z263" s="5"/>
    </row>
    <row r="264" ht="14.25" hidden="1" customHeight="1">
      <c r="A264" s="1" t="s">
        <v>3703</v>
      </c>
      <c r="B264" s="1">
        <v>1.1000715E7</v>
      </c>
      <c r="C264" s="1" t="str">
        <f>VLOOKUP(B264,Equipment!A$1:J$470,9,0)</f>
        <v>E</v>
      </c>
      <c r="D264" s="1" t="s">
        <v>988</v>
      </c>
      <c r="E264" s="1">
        <v>2001.0</v>
      </c>
      <c r="F264" s="1" t="s">
        <v>785</v>
      </c>
      <c r="G264" s="1" t="s">
        <v>131</v>
      </c>
      <c r="H264" s="1" t="s">
        <v>768</v>
      </c>
      <c r="I264" s="1" t="s">
        <v>1033</v>
      </c>
      <c r="J264" s="1" t="s">
        <v>1033</v>
      </c>
      <c r="K264" s="1" t="s">
        <v>1033</v>
      </c>
      <c r="L264" s="1" t="s">
        <v>3198</v>
      </c>
      <c r="M264" s="1" t="s">
        <v>51</v>
      </c>
      <c r="N264" s="1" t="s">
        <v>737</v>
      </c>
      <c r="O264" s="1" t="s">
        <v>31</v>
      </c>
      <c r="P264" s="1" t="s">
        <v>1440</v>
      </c>
      <c r="Q264" s="1" t="s">
        <v>777</v>
      </c>
      <c r="R264" s="1" t="s">
        <v>928</v>
      </c>
      <c r="S264" s="1" t="s">
        <v>779</v>
      </c>
      <c r="T264" s="1" t="s">
        <v>3202</v>
      </c>
      <c r="U264" s="1" t="s">
        <v>31</v>
      </c>
      <c r="V264" s="5"/>
      <c r="W264" s="5"/>
      <c r="X264" s="5"/>
      <c r="Y264" s="5"/>
      <c r="Z264" s="5"/>
    </row>
    <row r="265" ht="14.25" hidden="1" customHeight="1">
      <c r="A265" s="1" t="s">
        <v>3710</v>
      </c>
      <c r="B265" s="1">
        <v>1.1000788E7</v>
      </c>
      <c r="C265" s="1" t="str">
        <f>VLOOKUP(B265,Equipment!A$1:J$470,9,0)</f>
        <v>E</v>
      </c>
      <c r="D265" s="1" t="s">
        <v>1769</v>
      </c>
      <c r="E265" s="1">
        <v>1002.0</v>
      </c>
      <c r="F265" s="1" t="s">
        <v>3715</v>
      </c>
      <c r="G265" s="1" t="s">
        <v>131</v>
      </c>
      <c r="H265" s="1" t="s">
        <v>768</v>
      </c>
      <c r="I265" s="1" t="s">
        <v>1033</v>
      </c>
      <c r="J265" s="1" t="s">
        <v>1033</v>
      </c>
      <c r="K265" s="1" t="s">
        <v>1033</v>
      </c>
      <c r="L265" s="1" t="s">
        <v>1269</v>
      </c>
      <c r="M265" s="1" t="s">
        <v>51</v>
      </c>
      <c r="N265" s="1" t="s">
        <v>737</v>
      </c>
      <c r="O265" s="1" t="s">
        <v>31</v>
      </c>
      <c r="P265" s="1" t="s">
        <v>1671</v>
      </c>
      <c r="Q265" s="1" t="s">
        <v>948</v>
      </c>
      <c r="R265" s="1" t="s">
        <v>1286</v>
      </c>
      <c r="S265" s="1" t="s">
        <v>1000</v>
      </c>
      <c r="T265" s="1" t="s">
        <v>1288</v>
      </c>
      <c r="U265" s="1" t="s">
        <v>31</v>
      </c>
      <c r="V265" s="5"/>
      <c r="W265" s="5"/>
      <c r="X265" s="5"/>
      <c r="Y265" s="5"/>
      <c r="Z265" s="5"/>
    </row>
    <row r="266" ht="14.25" hidden="1" customHeight="1">
      <c r="A266" s="1" t="s">
        <v>31</v>
      </c>
      <c r="B266" s="1">
        <v>1.1000922E7</v>
      </c>
      <c r="C266" s="1" t="str">
        <f>VLOOKUP(B266,Equipment!A$1:J$470,9,0)</f>
        <v>E</v>
      </c>
      <c r="D266" s="1" t="s">
        <v>2063</v>
      </c>
      <c r="E266" s="1">
        <v>1201.0</v>
      </c>
      <c r="F266" s="1" t="s">
        <v>1459</v>
      </c>
      <c r="G266" s="1" t="s">
        <v>1015</v>
      </c>
      <c r="H266" s="1" t="s">
        <v>31</v>
      </c>
      <c r="I266" s="1" t="s">
        <v>1033</v>
      </c>
      <c r="J266" s="1" t="s">
        <v>1033</v>
      </c>
      <c r="K266" s="1" t="s">
        <v>31</v>
      </c>
      <c r="L266" s="1" t="s">
        <v>1460</v>
      </c>
      <c r="M266" s="1" t="s">
        <v>51</v>
      </c>
      <c r="N266" s="1" t="s">
        <v>737</v>
      </c>
      <c r="O266" s="1" t="s">
        <v>31</v>
      </c>
      <c r="P266" s="1" t="s">
        <v>1188</v>
      </c>
      <c r="Q266" s="1" t="s">
        <v>948</v>
      </c>
      <c r="R266" s="1" t="s">
        <v>1461</v>
      </c>
      <c r="S266" s="1" t="s">
        <v>1462</v>
      </c>
      <c r="T266" s="1" t="s">
        <v>31</v>
      </c>
      <c r="U266" s="1" t="s">
        <v>31</v>
      </c>
      <c r="V266" s="5"/>
      <c r="W266" s="5"/>
      <c r="X266" s="5"/>
      <c r="Y266" s="5"/>
      <c r="Z266" s="5"/>
    </row>
    <row r="267" ht="14.25" hidden="1" customHeight="1">
      <c r="A267" s="1" t="s">
        <v>31</v>
      </c>
      <c r="B267" s="1">
        <v>1.1000923E7</v>
      </c>
      <c r="C267" s="1" t="str">
        <f>VLOOKUP(B267,Equipment!A$1:J$470,9,0)</f>
        <v>E</v>
      </c>
      <c r="D267" s="1" t="s">
        <v>2068</v>
      </c>
      <c r="E267" s="1">
        <v>1201.0</v>
      </c>
      <c r="F267" s="1" t="s">
        <v>1459</v>
      </c>
      <c r="G267" s="1" t="s">
        <v>1015</v>
      </c>
      <c r="H267" s="1" t="s">
        <v>31</v>
      </c>
      <c r="I267" s="1" t="s">
        <v>1033</v>
      </c>
      <c r="J267" s="1" t="s">
        <v>1033</v>
      </c>
      <c r="K267" s="1" t="s">
        <v>31</v>
      </c>
      <c r="L267" s="1" t="s">
        <v>1460</v>
      </c>
      <c r="M267" s="1" t="s">
        <v>51</v>
      </c>
      <c r="N267" s="1" t="s">
        <v>737</v>
      </c>
      <c r="O267" s="1" t="s">
        <v>31</v>
      </c>
      <c r="P267" s="1" t="s">
        <v>1188</v>
      </c>
      <c r="Q267" s="1" t="s">
        <v>948</v>
      </c>
      <c r="R267" s="1" t="s">
        <v>1461</v>
      </c>
      <c r="S267" s="1" t="s">
        <v>1462</v>
      </c>
      <c r="T267" s="1" t="s">
        <v>31</v>
      </c>
      <c r="U267" s="1" t="s">
        <v>31</v>
      </c>
      <c r="V267" s="5"/>
      <c r="W267" s="5"/>
      <c r="X267" s="5"/>
      <c r="Y267" s="5"/>
      <c r="Z267" s="5"/>
    </row>
    <row r="268" ht="14.25" hidden="1" customHeight="1">
      <c r="A268" s="1" t="s">
        <v>31</v>
      </c>
      <c r="B268" s="1">
        <v>1.1000924E7</v>
      </c>
      <c r="C268" s="1" t="str">
        <f>VLOOKUP(B268,Equipment!A$1:J$470,9,0)</f>
        <v>E</v>
      </c>
      <c r="D268" s="1" t="s">
        <v>2072</v>
      </c>
      <c r="E268" s="1">
        <v>1201.0</v>
      </c>
      <c r="F268" s="1" t="s">
        <v>1459</v>
      </c>
      <c r="G268" s="1" t="s">
        <v>1015</v>
      </c>
      <c r="H268" s="1" t="s">
        <v>31</v>
      </c>
      <c r="I268" s="1" t="s">
        <v>1033</v>
      </c>
      <c r="J268" s="1" t="s">
        <v>1033</v>
      </c>
      <c r="K268" s="1" t="s">
        <v>31</v>
      </c>
      <c r="L268" s="1" t="s">
        <v>1460</v>
      </c>
      <c r="M268" s="1" t="s">
        <v>51</v>
      </c>
      <c r="N268" s="1" t="s">
        <v>737</v>
      </c>
      <c r="O268" s="1" t="s">
        <v>31</v>
      </c>
      <c r="P268" s="1" t="s">
        <v>1188</v>
      </c>
      <c r="Q268" s="1" t="s">
        <v>948</v>
      </c>
      <c r="R268" s="1" t="s">
        <v>1461</v>
      </c>
      <c r="S268" s="1" t="s">
        <v>1462</v>
      </c>
      <c r="T268" s="1" t="s">
        <v>31</v>
      </c>
      <c r="U268" s="1" t="s">
        <v>31</v>
      </c>
      <c r="V268" s="5"/>
      <c r="W268" s="5"/>
      <c r="X268" s="5"/>
      <c r="Y268" s="5"/>
      <c r="Z268" s="5"/>
    </row>
    <row r="269" ht="14.25" hidden="1" customHeight="1">
      <c r="A269" s="1" t="s">
        <v>31</v>
      </c>
      <c r="B269" s="1">
        <v>1.100097E7</v>
      </c>
      <c r="C269" s="1" t="str">
        <f>VLOOKUP(B269,Equipment!A$1:J$470,9,0)</f>
        <v>E</v>
      </c>
      <c r="D269" s="1" t="s">
        <v>2252</v>
      </c>
      <c r="E269" s="1">
        <v>1201.0</v>
      </c>
      <c r="F269" s="1" t="s">
        <v>1459</v>
      </c>
      <c r="G269" s="1" t="s">
        <v>1015</v>
      </c>
      <c r="H269" s="1" t="s">
        <v>31</v>
      </c>
      <c r="I269" s="1" t="s">
        <v>1033</v>
      </c>
      <c r="J269" s="1" t="s">
        <v>1033</v>
      </c>
      <c r="K269" s="1" t="s">
        <v>31</v>
      </c>
      <c r="L269" s="1" t="s">
        <v>1460</v>
      </c>
      <c r="M269" s="1" t="s">
        <v>51</v>
      </c>
      <c r="N269" s="1" t="s">
        <v>737</v>
      </c>
      <c r="O269" s="1" t="s">
        <v>31</v>
      </c>
      <c r="P269" s="1" t="s">
        <v>1188</v>
      </c>
      <c r="Q269" s="1" t="s">
        <v>948</v>
      </c>
      <c r="R269" s="1" t="s">
        <v>1461</v>
      </c>
      <c r="S269" s="1" t="s">
        <v>1462</v>
      </c>
      <c r="T269" s="1" t="s">
        <v>31</v>
      </c>
      <c r="U269" s="1" t="s">
        <v>31</v>
      </c>
      <c r="V269" s="5"/>
      <c r="W269" s="5"/>
      <c r="X269" s="5"/>
      <c r="Y269" s="5"/>
      <c r="Z269" s="5"/>
    </row>
    <row r="270" ht="14.25" hidden="1" customHeight="1">
      <c r="A270" s="1" t="s">
        <v>3724</v>
      </c>
      <c r="B270" s="1">
        <v>1.1001284E7</v>
      </c>
      <c r="C270" s="1" t="str">
        <f>VLOOKUP(B270,Equipment!A$1:J$470,9,0)</f>
        <v>E</v>
      </c>
      <c r="D270" s="1" t="s">
        <v>1307</v>
      </c>
      <c r="E270" s="1">
        <v>1001.0</v>
      </c>
      <c r="F270" s="1" t="s">
        <v>3727</v>
      </c>
      <c r="G270" s="1" t="s">
        <v>1132</v>
      </c>
      <c r="H270" s="1" t="s">
        <v>768</v>
      </c>
      <c r="I270" s="1" t="s">
        <v>1033</v>
      </c>
      <c r="J270" s="1" t="s">
        <v>1033</v>
      </c>
      <c r="K270" s="1" t="s">
        <v>1033</v>
      </c>
      <c r="L270" s="1" t="s">
        <v>1312</v>
      </c>
      <c r="M270" s="1" t="s">
        <v>51</v>
      </c>
      <c r="N270" s="1" t="s">
        <v>737</v>
      </c>
      <c r="O270" s="1" t="s">
        <v>31</v>
      </c>
      <c r="P270" s="1" t="s">
        <v>2766</v>
      </c>
      <c r="Q270" s="1" t="s">
        <v>948</v>
      </c>
      <c r="R270" s="1" t="s">
        <v>1319</v>
      </c>
      <c r="S270" s="1" t="s">
        <v>1139</v>
      </c>
      <c r="T270" s="1" t="s">
        <v>1319</v>
      </c>
      <c r="U270" s="1" t="s">
        <v>31</v>
      </c>
      <c r="V270" s="5"/>
      <c r="W270" s="5"/>
      <c r="X270" s="5"/>
      <c r="Y270" s="5"/>
      <c r="Z270" s="5"/>
    </row>
    <row r="271" ht="14.25" hidden="1" customHeight="1">
      <c r="A271" s="1" t="s">
        <v>3728</v>
      </c>
      <c r="B271" s="1">
        <v>1.1001284E7</v>
      </c>
      <c r="C271" s="1" t="str">
        <f>VLOOKUP(B271,Equipment!A$1:J$470,9,0)</f>
        <v>E</v>
      </c>
      <c r="D271" s="1" t="s">
        <v>1307</v>
      </c>
      <c r="E271" s="1">
        <v>1001.0</v>
      </c>
      <c r="F271" s="1" t="s">
        <v>3732</v>
      </c>
      <c r="G271" s="1" t="s">
        <v>1132</v>
      </c>
      <c r="H271" s="1" t="s">
        <v>768</v>
      </c>
      <c r="I271" s="1" t="s">
        <v>1033</v>
      </c>
      <c r="J271" s="1" t="s">
        <v>1033</v>
      </c>
      <c r="K271" s="1" t="s">
        <v>1033</v>
      </c>
      <c r="L271" s="1" t="s">
        <v>1312</v>
      </c>
      <c r="M271" s="1" t="s">
        <v>51</v>
      </c>
      <c r="N271" s="1" t="s">
        <v>737</v>
      </c>
      <c r="O271" s="1" t="s">
        <v>31</v>
      </c>
      <c r="P271" s="1" t="s">
        <v>2151</v>
      </c>
      <c r="Q271" s="1" t="s">
        <v>948</v>
      </c>
      <c r="R271" s="1" t="s">
        <v>1319</v>
      </c>
      <c r="S271" s="1" t="s">
        <v>1139</v>
      </c>
      <c r="T271" s="1" t="s">
        <v>1319</v>
      </c>
      <c r="U271" s="1" t="s">
        <v>31</v>
      </c>
      <c r="V271" s="5"/>
      <c r="W271" s="5"/>
      <c r="X271" s="5"/>
      <c r="Y271" s="5"/>
      <c r="Z271" s="5"/>
    </row>
    <row r="272" ht="14.25" hidden="1" customHeight="1">
      <c r="A272" s="1" t="s">
        <v>3739</v>
      </c>
      <c r="B272" s="1">
        <v>2.1000073E7</v>
      </c>
      <c r="C272" s="1" t="str">
        <f>VLOOKUP(B272,Equipment!A$1:J$470,9,0)</f>
        <v>U</v>
      </c>
      <c r="D272" s="1" t="s">
        <v>3190</v>
      </c>
      <c r="E272" s="1">
        <v>1001.0</v>
      </c>
      <c r="F272" s="1" t="s">
        <v>3741</v>
      </c>
      <c r="G272" s="1" t="s">
        <v>1132</v>
      </c>
      <c r="H272" s="1" t="s">
        <v>768</v>
      </c>
      <c r="I272" s="1" t="s">
        <v>1033</v>
      </c>
      <c r="J272" s="1" t="s">
        <v>1033</v>
      </c>
      <c r="K272" s="1" t="s">
        <v>1033</v>
      </c>
      <c r="L272" s="1" t="s">
        <v>1237</v>
      </c>
      <c r="M272" s="1" t="s">
        <v>51</v>
      </c>
      <c r="N272" s="1" t="s">
        <v>737</v>
      </c>
      <c r="O272" s="1" t="s">
        <v>31</v>
      </c>
      <c r="P272" s="1" t="s">
        <v>3747</v>
      </c>
      <c r="Q272" s="1" t="s">
        <v>948</v>
      </c>
      <c r="R272" s="1" t="s">
        <v>2301</v>
      </c>
      <c r="S272" s="1" t="s">
        <v>1139</v>
      </c>
      <c r="T272" s="1" t="s">
        <v>1140</v>
      </c>
      <c r="U272" s="1" t="s">
        <v>31</v>
      </c>
      <c r="V272" s="5"/>
      <c r="W272" s="5"/>
      <c r="X272" s="5"/>
      <c r="Y272" s="5"/>
      <c r="Z272" s="5"/>
    </row>
    <row r="273" ht="14.25" hidden="1" customHeight="1">
      <c r="A273" s="1" t="s">
        <v>3751</v>
      </c>
      <c r="B273" s="1">
        <v>2.1000823E7</v>
      </c>
      <c r="C273" s="1" t="str">
        <f>VLOOKUP(B273,Equipment!A$1:J$470,9,0)</f>
        <v>#N/A</v>
      </c>
      <c r="D273" s="1" t="s">
        <v>3586</v>
      </c>
      <c r="E273" s="1">
        <v>1031.0</v>
      </c>
      <c r="F273" s="1" t="s">
        <v>3759</v>
      </c>
      <c r="G273" s="1" t="s">
        <v>1082</v>
      </c>
      <c r="H273" s="1" t="s">
        <v>768</v>
      </c>
      <c r="I273" s="1" t="s">
        <v>1033</v>
      </c>
      <c r="J273" s="1" t="s">
        <v>1033</v>
      </c>
      <c r="K273" s="1" t="s">
        <v>31</v>
      </c>
      <c r="L273" s="1" t="s">
        <v>1124</v>
      </c>
      <c r="M273" s="1" t="s">
        <v>51</v>
      </c>
      <c r="N273" s="1" t="s">
        <v>737</v>
      </c>
      <c r="O273" s="1" t="s">
        <v>31</v>
      </c>
      <c r="P273" s="1" t="s">
        <v>776</v>
      </c>
      <c r="Q273" s="1" t="s">
        <v>948</v>
      </c>
      <c r="R273" s="1" t="s">
        <v>3760</v>
      </c>
      <c r="S273" s="1" t="s">
        <v>983</v>
      </c>
      <c r="T273" s="1" t="s">
        <v>1089</v>
      </c>
      <c r="U273" s="1" t="s">
        <v>31</v>
      </c>
      <c r="V273" s="5"/>
      <c r="W273" s="5"/>
      <c r="X273" s="5"/>
      <c r="Y273" s="5"/>
      <c r="Z273" s="5"/>
    </row>
    <row r="274" ht="14.25" hidden="1" customHeight="1">
      <c r="A274" s="1" t="s">
        <v>3763</v>
      </c>
      <c r="B274" s="1">
        <v>1.1000212E7</v>
      </c>
      <c r="C274" s="1" t="str">
        <f>VLOOKUP(B274,Equipment!A$1:J$470,9,0)</f>
        <v>E</v>
      </c>
      <c r="D274" s="1" t="s">
        <v>419</v>
      </c>
      <c r="E274" s="1">
        <v>2001.0</v>
      </c>
      <c r="F274" s="1" t="s">
        <v>785</v>
      </c>
      <c r="G274" s="1" t="s">
        <v>131</v>
      </c>
      <c r="H274" s="1" t="s">
        <v>768</v>
      </c>
      <c r="I274" s="1" t="s">
        <v>1945</v>
      </c>
      <c r="J274" s="1" t="s">
        <v>1945</v>
      </c>
      <c r="K274" s="1" t="s">
        <v>1945</v>
      </c>
      <c r="L274" s="1" t="s">
        <v>3261</v>
      </c>
      <c r="M274" s="1" t="s">
        <v>51</v>
      </c>
      <c r="N274" s="1" t="s">
        <v>737</v>
      </c>
      <c r="O274" s="1" t="s">
        <v>31</v>
      </c>
      <c r="P274" s="1" t="s">
        <v>1655</v>
      </c>
      <c r="Q274" s="1" t="s">
        <v>777</v>
      </c>
      <c r="R274" s="1" t="s">
        <v>2186</v>
      </c>
      <c r="S274" s="1" t="s">
        <v>779</v>
      </c>
      <c r="T274" s="1" t="s">
        <v>3270</v>
      </c>
      <c r="U274" s="1" t="s">
        <v>31</v>
      </c>
      <c r="V274" s="5"/>
      <c r="W274" s="5"/>
      <c r="X274" s="5"/>
      <c r="Y274" s="5"/>
      <c r="Z274" s="5"/>
    </row>
    <row r="275" ht="14.25" hidden="1" customHeight="1">
      <c r="A275" s="1" t="s">
        <v>3772</v>
      </c>
      <c r="B275" s="1">
        <v>1.1000254E7</v>
      </c>
      <c r="C275" s="1" t="str">
        <f>VLOOKUP(B275,Equipment!A$1:J$470,9,0)</f>
        <v>E</v>
      </c>
      <c r="D275" s="1" t="s">
        <v>477</v>
      </c>
      <c r="E275" s="1">
        <v>2001.0</v>
      </c>
      <c r="F275" s="1" t="s">
        <v>766</v>
      </c>
      <c r="G275" s="1" t="s">
        <v>131</v>
      </c>
      <c r="H275" s="1" t="s">
        <v>768</v>
      </c>
      <c r="I275" s="1" t="s">
        <v>1945</v>
      </c>
      <c r="J275" s="1" t="s">
        <v>1945</v>
      </c>
      <c r="K275" s="1" t="s">
        <v>1945</v>
      </c>
      <c r="L275" s="1" t="s">
        <v>3783</v>
      </c>
      <c r="M275" s="1" t="s">
        <v>51</v>
      </c>
      <c r="N275" s="1" t="s">
        <v>737</v>
      </c>
      <c r="O275" s="1" t="s">
        <v>3784</v>
      </c>
      <c r="P275" s="1" t="s">
        <v>776</v>
      </c>
      <c r="Q275" s="1" t="s">
        <v>777</v>
      </c>
      <c r="R275" s="1" t="s">
        <v>814</v>
      </c>
      <c r="S275" s="1" t="s">
        <v>779</v>
      </c>
      <c r="T275" s="1" t="s">
        <v>3786</v>
      </c>
      <c r="U275" s="1" t="s">
        <v>31</v>
      </c>
      <c r="V275" s="5"/>
      <c r="W275" s="5"/>
      <c r="X275" s="5"/>
      <c r="Y275" s="5"/>
      <c r="Z275" s="5"/>
    </row>
    <row r="276" ht="14.25" hidden="1" customHeight="1">
      <c r="A276" s="1" t="s">
        <v>3787</v>
      </c>
      <c r="B276" s="1">
        <v>1.1000254E7</v>
      </c>
      <c r="C276" s="1" t="str">
        <f>VLOOKUP(B276,Equipment!A$1:J$470,9,0)</f>
        <v>E</v>
      </c>
      <c r="D276" s="1" t="s">
        <v>477</v>
      </c>
      <c r="E276" s="1">
        <v>2001.0</v>
      </c>
      <c r="F276" s="1" t="s">
        <v>785</v>
      </c>
      <c r="G276" s="1" t="s">
        <v>131</v>
      </c>
      <c r="H276" s="1" t="s">
        <v>768</v>
      </c>
      <c r="I276" s="1" t="s">
        <v>1945</v>
      </c>
      <c r="J276" s="1" t="s">
        <v>1945</v>
      </c>
      <c r="K276" s="1" t="s">
        <v>1945</v>
      </c>
      <c r="L276" s="1" t="s">
        <v>3783</v>
      </c>
      <c r="M276" s="1" t="s">
        <v>51</v>
      </c>
      <c r="N276" s="1" t="s">
        <v>737</v>
      </c>
      <c r="O276" s="1" t="s">
        <v>3784</v>
      </c>
      <c r="P276" s="1" t="s">
        <v>2184</v>
      </c>
      <c r="Q276" s="1" t="s">
        <v>777</v>
      </c>
      <c r="R276" s="1" t="s">
        <v>814</v>
      </c>
      <c r="S276" s="1" t="s">
        <v>779</v>
      </c>
      <c r="T276" s="1" t="s">
        <v>3786</v>
      </c>
      <c r="U276" s="1" t="s">
        <v>31</v>
      </c>
      <c r="V276" s="5"/>
      <c r="W276" s="5"/>
      <c r="X276" s="5"/>
      <c r="Y276" s="5"/>
      <c r="Z276" s="5"/>
    </row>
    <row r="277" ht="14.25" hidden="1" customHeight="1">
      <c r="A277" s="1" t="s">
        <v>3799</v>
      </c>
      <c r="B277" s="1">
        <v>1.1000327E7</v>
      </c>
      <c r="C277" s="1" t="str">
        <f>VLOOKUP(B277,Equipment!A$1:J$470,9,0)</f>
        <v>E</v>
      </c>
      <c r="D277" s="1" t="s">
        <v>533</v>
      </c>
      <c r="E277" s="1">
        <v>2001.0</v>
      </c>
      <c r="F277" s="1" t="s">
        <v>785</v>
      </c>
      <c r="G277" s="1" t="s">
        <v>131</v>
      </c>
      <c r="H277" s="1" t="s">
        <v>768</v>
      </c>
      <c r="I277" s="1" t="s">
        <v>1945</v>
      </c>
      <c r="J277" s="1" t="s">
        <v>1945</v>
      </c>
      <c r="K277" s="1" t="s">
        <v>1945</v>
      </c>
      <c r="L277" s="1" t="s">
        <v>3806</v>
      </c>
      <c r="M277" s="1" t="s">
        <v>51</v>
      </c>
      <c r="N277" s="1" t="s">
        <v>737</v>
      </c>
      <c r="O277" s="1" t="s">
        <v>3809</v>
      </c>
      <c r="P277" s="1" t="s">
        <v>789</v>
      </c>
      <c r="Q277" s="1" t="s">
        <v>777</v>
      </c>
      <c r="R277" s="1" t="s">
        <v>2186</v>
      </c>
      <c r="S277" s="1" t="s">
        <v>779</v>
      </c>
      <c r="T277" s="1" t="s">
        <v>3812</v>
      </c>
      <c r="U277" s="1" t="s">
        <v>31</v>
      </c>
      <c r="V277" s="5"/>
      <c r="W277" s="5"/>
      <c r="X277" s="5"/>
      <c r="Y277" s="5"/>
      <c r="Z277" s="5"/>
    </row>
    <row r="278" ht="14.25" hidden="1" customHeight="1">
      <c r="A278" s="1" t="s">
        <v>3817</v>
      </c>
      <c r="B278" s="1">
        <v>1.1000327E7</v>
      </c>
      <c r="C278" s="1" t="str">
        <f>VLOOKUP(B278,Equipment!A$1:J$470,9,0)</f>
        <v>E</v>
      </c>
      <c r="D278" s="1" t="s">
        <v>533</v>
      </c>
      <c r="E278" s="1">
        <v>2001.0</v>
      </c>
      <c r="F278" s="1" t="s">
        <v>846</v>
      </c>
      <c r="G278" s="1" t="s">
        <v>131</v>
      </c>
      <c r="H278" s="1" t="s">
        <v>768</v>
      </c>
      <c r="I278" s="1" t="s">
        <v>1945</v>
      </c>
      <c r="J278" s="1" t="s">
        <v>1945</v>
      </c>
      <c r="K278" s="1" t="s">
        <v>1945</v>
      </c>
      <c r="L278" s="1" t="s">
        <v>3806</v>
      </c>
      <c r="M278" s="1" t="s">
        <v>51</v>
      </c>
      <c r="N278" s="1" t="s">
        <v>737</v>
      </c>
      <c r="O278" s="1" t="s">
        <v>3809</v>
      </c>
      <c r="P278" s="1" t="s">
        <v>850</v>
      </c>
      <c r="Q278" s="1" t="s">
        <v>777</v>
      </c>
      <c r="R278" s="1" t="s">
        <v>2186</v>
      </c>
      <c r="S278" s="1" t="s">
        <v>779</v>
      </c>
      <c r="T278" s="1" t="s">
        <v>3812</v>
      </c>
      <c r="U278" s="1" t="s">
        <v>31</v>
      </c>
      <c r="V278" s="5"/>
      <c r="W278" s="5"/>
      <c r="X278" s="5"/>
      <c r="Y278" s="5"/>
      <c r="Z278" s="5"/>
    </row>
    <row r="279" ht="14.25" hidden="1" customHeight="1">
      <c r="A279" s="1" t="s">
        <v>3823</v>
      </c>
      <c r="B279" s="1">
        <v>1.1000327E7</v>
      </c>
      <c r="C279" s="1" t="str">
        <f>VLOOKUP(B279,Equipment!A$1:J$470,9,0)</f>
        <v>E</v>
      </c>
      <c r="D279" s="1" t="s">
        <v>533</v>
      </c>
      <c r="E279" s="1">
        <v>2001.0</v>
      </c>
      <c r="F279" s="1" t="s">
        <v>766</v>
      </c>
      <c r="G279" s="1" t="s">
        <v>131</v>
      </c>
      <c r="H279" s="1" t="s">
        <v>768</v>
      </c>
      <c r="I279" s="1" t="s">
        <v>1945</v>
      </c>
      <c r="J279" s="1" t="s">
        <v>1945</v>
      </c>
      <c r="K279" s="1" t="s">
        <v>1945</v>
      </c>
      <c r="L279" s="1" t="s">
        <v>3806</v>
      </c>
      <c r="M279" s="1" t="s">
        <v>51</v>
      </c>
      <c r="N279" s="1" t="s">
        <v>737</v>
      </c>
      <c r="O279" s="1" t="s">
        <v>3809</v>
      </c>
      <c r="P279" s="1" t="s">
        <v>776</v>
      </c>
      <c r="Q279" s="1" t="s">
        <v>777</v>
      </c>
      <c r="R279" s="1" t="s">
        <v>2186</v>
      </c>
      <c r="S279" s="1" t="s">
        <v>779</v>
      </c>
      <c r="T279" s="1" t="s">
        <v>3812</v>
      </c>
      <c r="U279" s="1" t="s">
        <v>31</v>
      </c>
      <c r="V279" s="5"/>
      <c r="W279" s="5"/>
      <c r="X279" s="5"/>
      <c r="Y279" s="5"/>
      <c r="Z279" s="5"/>
    </row>
    <row r="280" ht="14.25" hidden="1" customHeight="1">
      <c r="A280" s="1" t="s">
        <v>3831</v>
      </c>
      <c r="B280" s="1">
        <v>1.100045E7</v>
      </c>
      <c r="C280" s="1" t="str">
        <f>VLOOKUP(B280,Equipment!A$1:J$470,9,0)</f>
        <v>E</v>
      </c>
      <c r="D280" s="1" t="s">
        <v>945</v>
      </c>
      <c r="E280" s="1">
        <v>1041.0</v>
      </c>
      <c r="F280" s="1" t="s">
        <v>3835</v>
      </c>
      <c r="G280" s="1" t="s">
        <v>68</v>
      </c>
      <c r="H280" s="1" t="s">
        <v>768</v>
      </c>
      <c r="I280" s="1" t="s">
        <v>1945</v>
      </c>
      <c r="J280" s="1" t="s">
        <v>1945</v>
      </c>
      <c r="K280" s="1" t="s">
        <v>1676</v>
      </c>
      <c r="L280" s="1" t="s">
        <v>1954</v>
      </c>
      <c r="M280" s="1" t="s">
        <v>51</v>
      </c>
      <c r="N280" s="1" t="s">
        <v>737</v>
      </c>
      <c r="O280" s="1" t="s">
        <v>31</v>
      </c>
      <c r="P280" s="1" t="s">
        <v>1345</v>
      </c>
      <c r="Q280" s="1" t="s">
        <v>948</v>
      </c>
      <c r="R280" s="1" t="s">
        <v>965</v>
      </c>
      <c r="S280" s="1" t="s">
        <v>950</v>
      </c>
      <c r="T280" s="1" t="s">
        <v>1956</v>
      </c>
      <c r="U280" s="1" t="s">
        <v>31</v>
      </c>
      <c r="V280" s="5"/>
      <c r="W280" s="5"/>
      <c r="X280" s="5"/>
      <c r="Y280" s="5"/>
      <c r="Z280" s="5"/>
    </row>
    <row r="281" ht="14.25" hidden="1" customHeight="1">
      <c r="A281" s="1" t="s">
        <v>3839</v>
      </c>
      <c r="B281" s="1">
        <v>1.1000562E7</v>
      </c>
      <c r="C281" s="1" t="str">
        <f>VLOOKUP(B281,Equipment!A$1:J$470,9,0)</f>
        <v>E</v>
      </c>
      <c r="D281" s="1" t="s">
        <v>1227</v>
      </c>
      <c r="E281" s="1">
        <v>1031.0</v>
      </c>
      <c r="F281" s="1" t="s">
        <v>3842</v>
      </c>
      <c r="G281" s="1" t="s">
        <v>223</v>
      </c>
      <c r="H281" s="1" t="s">
        <v>768</v>
      </c>
      <c r="I281" s="1" t="s">
        <v>1945</v>
      </c>
      <c r="J281" s="1" t="s">
        <v>1945</v>
      </c>
      <c r="K281" s="1" t="s">
        <v>31</v>
      </c>
      <c r="L281" s="1" t="s">
        <v>3844</v>
      </c>
      <c r="M281" s="1" t="s">
        <v>51</v>
      </c>
      <c r="N281" s="1" t="s">
        <v>737</v>
      </c>
      <c r="O281" s="1" t="s">
        <v>31</v>
      </c>
      <c r="P281" s="1" t="s">
        <v>789</v>
      </c>
      <c r="Q281" s="1" t="s">
        <v>948</v>
      </c>
      <c r="R281" s="1" t="s">
        <v>982</v>
      </c>
      <c r="S281" s="1" t="s">
        <v>983</v>
      </c>
      <c r="T281" s="1" t="s">
        <v>3847</v>
      </c>
      <c r="U281" s="1" t="s">
        <v>31</v>
      </c>
      <c r="V281" s="5"/>
      <c r="W281" s="5"/>
      <c r="X281" s="5"/>
      <c r="Y281" s="5"/>
      <c r="Z281" s="5"/>
    </row>
    <row r="282" ht="14.25" hidden="1" customHeight="1">
      <c r="A282" s="1" t="s">
        <v>3848</v>
      </c>
      <c r="B282" s="1">
        <v>1.1001339E7</v>
      </c>
      <c r="C282" s="1" t="str">
        <f>VLOOKUP(B282,Equipment!A$1:J$470,9,0)</f>
        <v>E</v>
      </c>
      <c r="D282" s="1" t="s">
        <v>2835</v>
      </c>
      <c r="E282" s="1">
        <v>1501.0</v>
      </c>
      <c r="F282" s="1" t="s">
        <v>3852</v>
      </c>
      <c r="G282" s="1" t="s">
        <v>1361</v>
      </c>
      <c r="H282" s="1" t="s">
        <v>768</v>
      </c>
      <c r="I282" s="1" t="s">
        <v>1945</v>
      </c>
      <c r="J282" s="1" t="s">
        <v>1945</v>
      </c>
      <c r="K282" s="1" t="s">
        <v>1945</v>
      </c>
      <c r="L282" s="1" t="s">
        <v>3234</v>
      </c>
      <c r="M282" s="1" t="s">
        <v>51</v>
      </c>
      <c r="N282" s="1" t="s">
        <v>737</v>
      </c>
      <c r="O282" s="1" t="s">
        <v>31</v>
      </c>
      <c r="P282" s="1" t="s">
        <v>2766</v>
      </c>
      <c r="Q282" s="1" t="s">
        <v>741</v>
      </c>
      <c r="R282" s="1" t="s">
        <v>3236</v>
      </c>
      <c r="S282" s="1" t="s">
        <v>745</v>
      </c>
      <c r="T282" s="1" t="s">
        <v>3856</v>
      </c>
      <c r="U282" s="1" t="s">
        <v>31</v>
      </c>
      <c r="V282" s="5"/>
      <c r="W282" s="5"/>
      <c r="X282" s="5"/>
      <c r="Y282" s="5"/>
      <c r="Z282" s="5"/>
    </row>
    <row r="283" ht="14.25" hidden="1" customHeight="1">
      <c r="A283" s="1" t="s">
        <v>3857</v>
      </c>
      <c r="B283" s="1">
        <v>2.1001087E7</v>
      </c>
      <c r="C283" s="1" t="str">
        <f>VLOOKUP(B283,Equipment!A$1:J$470,9,0)</f>
        <v>#N/A</v>
      </c>
      <c r="D283" s="1" t="s">
        <v>3771</v>
      </c>
      <c r="E283" s="1">
        <v>1001.0</v>
      </c>
      <c r="F283" s="1" t="s">
        <v>3862</v>
      </c>
      <c r="G283" s="1" t="s">
        <v>1015</v>
      </c>
      <c r="H283" s="1" t="s">
        <v>768</v>
      </c>
      <c r="I283" s="1" t="s">
        <v>1945</v>
      </c>
      <c r="J283" s="1" t="s">
        <v>1945</v>
      </c>
      <c r="K283" s="1" t="s">
        <v>1945</v>
      </c>
      <c r="L283" s="1" t="s">
        <v>1237</v>
      </c>
      <c r="M283" s="1" t="s">
        <v>51</v>
      </c>
      <c r="N283" s="1" t="s">
        <v>737</v>
      </c>
      <c r="O283" s="1" t="s">
        <v>31</v>
      </c>
      <c r="P283" s="1" t="s">
        <v>776</v>
      </c>
      <c r="Q283" s="1" t="s">
        <v>948</v>
      </c>
      <c r="R283" s="1" t="s">
        <v>1082</v>
      </c>
      <c r="S283" s="1" t="s">
        <v>1139</v>
      </c>
      <c r="T283" s="1" t="s">
        <v>1140</v>
      </c>
      <c r="U283" s="1" t="s">
        <v>31</v>
      </c>
      <c r="V283" s="5"/>
      <c r="W283" s="5"/>
      <c r="X283" s="5"/>
      <c r="Y283" s="5"/>
      <c r="Z283" s="5"/>
    </row>
    <row r="284" ht="14.25" hidden="1" customHeight="1">
      <c r="A284" s="1" t="s">
        <v>3865</v>
      </c>
      <c r="B284" s="1">
        <v>1.1000158E7</v>
      </c>
      <c r="C284" s="1" t="str">
        <f>VLOOKUP(B284,Equipment!A$1:J$470,9,0)</f>
        <v>E</v>
      </c>
      <c r="D284" s="1" t="s">
        <v>351</v>
      </c>
      <c r="E284" s="1">
        <v>1501.0</v>
      </c>
      <c r="F284" s="1" t="s">
        <v>3873</v>
      </c>
      <c r="G284" s="1" t="s">
        <v>2286</v>
      </c>
      <c r="H284" s="1" t="s">
        <v>768</v>
      </c>
      <c r="I284" s="1" t="s">
        <v>1676</v>
      </c>
      <c r="J284" s="1" t="s">
        <v>1676</v>
      </c>
      <c r="K284" s="1" t="s">
        <v>1676</v>
      </c>
      <c r="L284" s="1" t="s">
        <v>3874</v>
      </c>
      <c r="M284" s="1" t="s">
        <v>51</v>
      </c>
      <c r="N284" s="1" t="s">
        <v>737</v>
      </c>
      <c r="O284" s="1" t="s">
        <v>31</v>
      </c>
      <c r="P284" s="1" t="s">
        <v>776</v>
      </c>
      <c r="Q284" s="1" t="s">
        <v>741</v>
      </c>
      <c r="R284" s="1" t="s">
        <v>3875</v>
      </c>
      <c r="S284" s="1" t="s">
        <v>745</v>
      </c>
      <c r="T284" s="1" t="s">
        <v>3876</v>
      </c>
      <c r="U284" s="1" t="s">
        <v>31</v>
      </c>
      <c r="V284" s="5"/>
      <c r="W284" s="5"/>
      <c r="X284" s="5"/>
      <c r="Y284" s="5"/>
      <c r="Z284" s="5"/>
    </row>
    <row r="285" ht="14.25" hidden="1" customHeight="1">
      <c r="A285" s="1" t="s">
        <v>3878</v>
      </c>
      <c r="B285" s="1">
        <v>1.1000158E7</v>
      </c>
      <c r="C285" s="1" t="str">
        <f>VLOOKUP(B285,Equipment!A$1:J$470,9,0)</f>
        <v>E</v>
      </c>
      <c r="D285" s="1" t="s">
        <v>351</v>
      </c>
      <c r="E285" s="1">
        <v>1501.0</v>
      </c>
      <c r="F285" s="1" t="s">
        <v>3084</v>
      </c>
      <c r="G285" s="1" t="s">
        <v>2286</v>
      </c>
      <c r="H285" s="1" t="s">
        <v>768</v>
      </c>
      <c r="I285" s="1" t="s">
        <v>1676</v>
      </c>
      <c r="J285" s="1" t="s">
        <v>1676</v>
      </c>
      <c r="K285" s="1" t="s">
        <v>1676</v>
      </c>
      <c r="L285" s="1" t="s">
        <v>3874</v>
      </c>
      <c r="M285" s="1" t="s">
        <v>51</v>
      </c>
      <c r="N285" s="1" t="s">
        <v>737</v>
      </c>
      <c r="O285" s="1" t="s">
        <v>31</v>
      </c>
      <c r="P285" s="1" t="s">
        <v>789</v>
      </c>
      <c r="Q285" s="1" t="s">
        <v>741</v>
      </c>
      <c r="R285" s="1" t="s">
        <v>3875</v>
      </c>
      <c r="S285" s="1" t="s">
        <v>745</v>
      </c>
      <c r="T285" s="1" t="s">
        <v>3876</v>
      </c>
      <c r="U285" s="1" t="s">
        <v>31</v>
      </c>
      <c r="V285" s="5"/>
      <c r="W285" s="5"/>
      <c r="X285" s="5"/>
      <c r="Y285" s="5"/>
      <c r="Z285" s="5"/>
    </row>
    <row r="286" ht="14.25" hidden="1" customHeight="1">
      <c r="A286" s="1" t="s">
        <v>3884</v>
      </c>
      <c r="B286" s="1">
        <v>1.1000302E7</v>
      </c>
      <c r="C286" s="1" t="str">
        <f>VLOOKUP(B286,Equipment!A$1:J$470,9,0)</f>
        <v>E</v>
      </c>
      <c r="D286" s="1" t="s">
        <v>337</v>
      </c>
      <c r="E286" s="1">
        <v>2001.0</v>
      </c>
      <c r="F286" s="1" t="s">
        <v>785</v>
      </c>
      <c r="G286" s="1" t="s">
        <v>131</v>
      </c>
      <c r="H286" s="1" t="s">
        <v>768</v>
      </c>
      <c r="I286" s="1" t="s">
        <v>1676</v>
      </c>
      <c r="J286" s="1" t="s">
        <v>1676</v>
      </c>
      <c r="K286" s="1" t="s">
        <v>1676</v>
      </c>
      <c r="L286" s="1" t="s">
        <v>3892</v>
      </c>
      <c r="M286" s="1" t="s">
        <v>51</v>
      </c>
      <c r="N286" s="1" t="s">
        <v>737</v>
      </c>
      <c r="O286" s="1" t="s">
        <v>31</v>
      </c>
      <c r="P286" s="1" t="s">
        <v>789</v>
      </c>
      <c r="Q286" s="1" t="s">
        <v>777</v>
      </c>
      <c r="R286" s="1" t="s">
        <v>814</v>
      </c>
      <c r="S286" s="1" t="s">
        <v>779</v>
      </c>
      <c r="T286" s="1" t="s">
        <v>3893</v>
      </c>
      <c r="U286" s="1" t="s">
        <v>31</v>
      </c>
      <c r="V286" s="5"/>
      <c r="W286" s="5"/>
      <c r="X286" s="5"/>
      <c r="Y286" s="5"/>
      <c r="Z286" s="5"/>
    </row>
    <row r="287" ht="14.25" hidden="1" customHeight="1">
      <c r="A287" s="1" t="s">
        <v>3896</v>
      </c>
      <c r="B287" s="1">
        <v>1.1000547E7</v>
      </c>
      <c r="C287" s="1" t="str">
        <f>VLOOKUP(B287,Equipment!A$1:J$470,9,0)</f>
        <v>E</v>
      </c>
      <c r="D287" s="1" t="s">
        <v>1158</v>
      </c>
      <c r="E287" s="1">
        <v>1031.0</v>
      </c>
      <c r="F287" s="1" t="s">
        <v>3901</v>
      </c>
      <c r="G287" s="1" t="s">
        <v>491</v>
      </c>
      <c r="H287" s="1" t="s">
        <v>768</v>
      </c>
      <c r="I287" s="1" t="s">
        <v>1676</v>
      </c>
      <c r="J287" s="1" t="s">
        <v>1676</v>
      </c>
      <c r="K287" s="1" t="s">
        <v>31</v>
      </c>
      <c r="L287" s="1" t="s">
        <v>3902</v>
      </c>
      <c r="M287" s="1" t="s">
        <v>51</v>
      </c>
      <c r="N287" s="1" t="s">
        <v>737</v>
      </c>
      <c r="O287" s="1" t="s">
        <v>31</v>
      </c>
      <c r="P287" s="1" t="s">
        <v>850</v>
      </c>
      <c r="Q287" s="1" t="s">
        <v>948</v>
      </c>
      <c r="R287" s="1" t="s">
        <v>3903</v>
      </c>
      <c r="S287" s="1" t="s">
        <v>983</v>
      </c>
      <c r="T287" s="1" t="s">
        <v>3904</v>
      </c>
      <c r="U287" s="1" t="s">
        <v>31</v>
      </c>
      <c r="V287" s="5"/>
      <c r="W287" s="5"/>
      <c r="X287" s="5"/>
      <c r="Y287" s="5"/>
      <c r="Z287" s="5"/>
    </row>
    <row r="288" ht="14.25" hidden="1" customHeight="1">
      <c r="A288" s="1" t="s">
        <v>3905</v>
      </c>
      <c r="B288" s="1">
        <v>1.1000763E7</v>
      </c>
      <c r="C288" s="1" t="str">
        <f>VLOOKUP(B288,Equipment!A$1:J$470,9,0)</f>
        <v>E</v>
      </c>
      <c r="D288" s="1" t="s">
        <v>1745</v>
      </c>
      <c r="E288" s="1">
        <v>1041.0</v>
      </c>
      <c r="F288" s="1" t="s">
        <v>3909</v>
      </c>
      <c r="G288" s="1" t="s">
        <v>3910</v>
      </c>
      <c r="H288" s="1" t="s">
        <v>768</v>
      </c>
      <c r="I288" s="1" t="s">
        <v>1676</v>
      </c>
      <c r="J288" s="1" t="s">
        <v>1676</v>
      </c>
      <c r="K288" s="1" t="s">
        <v>31</v>
      </c>
      <c r="L288" s="1" t="s">
        <v>3911</v>
      </c>
      <c r="M288" s="1" t="s">
        <v>51</v>
      </c>
      <c r="N288" s="1" t="s">
        <v>737</v>
      </c>
      <c r="O288" s="1" t="s">
        <v>31</v>
      </c>
      <c r="P288" s="1" t="s">
        <v>3912</v>
      </c>
      <c r="Q288" s="1" t="s">
        <v>948</v>
      </c>
      <c r="R288" s="1" t="s">
        <v>3913</v>
      </c>
      <c r="S288" s="1" t="s">
        <v>950</v>
      </c>
      <c r="T288" s="1" t="s">
        <v>3914</v>
      </c>
      <c r="U288" s="1" t="s">
        <v>31</v>
      </c>
      <c r="V288" s="5"/>
      <c r="W288" s="5"/>
      <c r="X288" s="5"/>
      <c r="Y288" s="5"/>
      <c r="Z288" s="5"/>
    </row>
    <row r="289" ht="14.25" hidden="1" customHeight="1">
      <c r="A289" s="1" t="s">
        <v>3915</v>
      </c>
      <c r="B289" s="1">
        <v>1.1000789E7</v>
      </c>
      <c r="C289" s="1" t="str">
        <f>VLOOKUP(B289,Equipment!A$1:J$470,9,0)</f>
        <v>E</v>
      </c>
      <c r="D289" s="1" t="s">
        <v>1773</v>
      </c>
      <c r="E289" s="1">
        <v>1002.0</v>
      </c>
      <c r="F289" s="1" t="s">
        <v>3920</v>
      </c>
      <c r="G289" s="1" t="s">
        <v>131</v>
      </c>
      <c r="H289" s="1" t="s">
        <v>768</v>
      </c>
      <c r="I289" s="1" t="s">
        <v>1676</v>
      </c>
      <c r="J289" s="1" t="s">
        <v>1676</v>
      </c>
      <c r="K289" s="1" t="s">
        <v>1676</v>
      </c>
      <c r="L289" s="1" t="s">
        <v>1269</v>
      </c>
      <c r="M289" s="1" t="s">
        <v>51</v>
      </c>
      <c r="N289" s="1" t="s">
        <v>737</v>
      </c>
      <c r="O289" s="1" t="s">
        <v>31</v>
      </c>
      <c r="P289" s="1" t="s">
        <v>1671</v>
      </c>
      <c r="Q289" s="1" t="s">
        <v>948</v>
      </c>
      <c r="R289" s="1" t="s">
        <v>1286</v>
      </c>
      <c r="S289" s="1" t="s">
        <v>1000</v>
      </c>
      <c r="T289" s="1" t="s">
        <v>1288</v>
      </c>
      <c r="U289" s="1" t="s">
        <v>31</v>
      </c>
      <c r="V289" s="5"/>
      <c r="W289" s="5"/>
      <c r="X289" s="5"/>
      <c r="Y289" s="5"/>
      <c r="Z289" s="5"/>
    </row>
    <row r="290" ht="14.25" hidden="1" customHeight="1">
      <c r="A290" s="1" t="s">
        <v>3923</v>
      </c>
      <c r="B290" s="1">
        <v>1.100136E7</v>
      </c>
      <c r="C290" s="1" t="str">
        <f>VLOOKUP(B290,Equipment!A$1:J$470,9,0)</f>
        <v>E</v>
      </c>
      <c r="D290" s="1" t="s">
        <v>2872</v>
      </c>
      <c r="E290" s="1">
        <v>1002.0</v>
      </c>
      <c r="F290" s="1" t="s">
        <v>2120</v>
      </c>
      <c r="G290" s="1" t="s">
        <v>131</v>
      </c>
      <c r="H290" s="1" t="s">
        <v>768</v>
      </c>
      <c r="I290" s="1" t="s">
        <v>1676</v>
      </c>
      <c r="J290" s="1" t="s">
        <v>1676</v>
      </c>
      <c r="K290" s="1" t="s">
        <v>1676</v>
      </c>
      <c r="L290" s="1" t="s">
        <v>1016</v>
      </c>
      <c r="M290" s="1" t="s">
        <v>51</v>
      </c>
      <c r="N290" s="1" t="s">
        <v>737</v>
      </c>
      <c r="O290" s="1" t="s">
        <v>31</v>
      </c>
      <c r="P290" s="1" t="s">
        <v>1086</v>
      </c>
      <c r="Q290" s="1" t="s">
        <v>948</v>
      </c>
      <c r="R290" s="1" t="s">
        <v>1017</v>
      </c>
      <c r="S290" s="1" t="s">
        <v>1000</v>
      </c>
      <c r="T290" s="1" t="s">
        <v>3930</v>
      </c>
      <c r="U290" s="1" t="s">
        <v>31</v>
      </c>
      <c r="V290" s="5"/>
      <c r="W290" s="5"/>
      <c r="X290" s="5"/>
      <c r="Y290" s="5"/>
      <c r="Z290" s="5"/>
    </row>
    <row r="291" ht="14.25" hidden="1" customHeight="1">
      <c r="A291" s="1" t="s">
        <v>3931</v>
      </c>
      <c r="B291" s="1">
        <v>2.1000088E7</v>
      </c>
      <c r="C291" s="1" t="str">
        <f>VLOOKUP(B291,Equipment!A$1:J$470,9,0)</f>
        <v>U</v>
      </c>
      <c r="D291" s="1" t="s">
        <v>3228</v>
      </c>
      <c r="E291" s="1">
        <v>2501.0</v>
      </c>
      <c r="F291" s="1" t="s">
        <v>3938</v>
      </c>
      <c r="G291" s="1" t="s">
        <v>1034</v>
      </c>
      <c r="H291" s="1" t="s">
        <v>768</v>
      </c>
      <c r="I291" s="1" t="s">
        <v>1676</v>
      </c>
      <c r="J291" s="1" t="s">
        <v>1676</v>
      </c>
      <c r="K291" s="1" t="s">
        <v>1676</v>
      </c>
      <c r="L291" s="1" t="s">
        <v>1037</v>
      </c>
      <c r="M291" s="1" t="s">
        <v>51</v>
      </c>
      <c r="N291" s="1" t="s">
        <v>737</v>
      </c>
      <c r="O291" s="1" t="s">
        <v>31</v>
      </c>
      <c r="P291" s="1" t="s">
        <v>1345</v>
      </c>
      <c r="Q291" s="1" t="s">
        <v>1039</v>
      </c>
      <c r="R291" s="1" t="s">
        <v>1040</v>
      </c>
      <c r="S291" s="1" t="s">
        <v>1041</v>
      </c>
      <c r="T291" s="1" t="s">
        <v>3940</v>
      </c>
      <c r="U291" s="1" t="s">
        <v>31</v>
      </c>
      <c r="V291" s="5"/>
      <c r="W291" s="5"/>
      <c r="X291" s="5"/>
      <c r="Y291" s="5"/>
      <c r="Z291" s="5"/>
    </row>
    <row r="292" ht="14.25" hidden="1" customHeight="1">
      <c r="A292" s="1" t="s">
        <v>3941</v>
      </c>
      <c r="B292" s="1">
        <v>2.1000105E7</v>
      </c>
      <c r="C292" s="1" t="str">
        <f>VLOOKUP(B292,Equipment!A$1:J$470,9,0)</f>
        <v>U</v>
      </c>
      <c r="D292" s="1" t="s">
        <v>3242</v>
      </c>
      <c r="E292" s="1">
        <v>2501.0</v>
      </c>
      <c r="F292" s="1" t="s">
        <v>3947</v>
      </c>
      <c r="G292" s="1" t="s">
        <v>1034</v>
      </c>
      <c r="H292" s="1" t="s">
        <v>768</v>
      </c>
      <c r="I292" s="1" t="s">
        <v>1676</v>
      </c>
      <c r="J292" s="1" t="s">
        <v>1676</v>
      </c>
      <c r="K292" s="1" t="s">
        <v>1490</v>
      </c>
      <c r="L292" s="1" t="s">
        <v>1037</v>
      </c>
      <c r="M292" s="1" t="s">
        <v>51</v>
      </c>
      <c r="N292" s="1" t="s">
        <v>737</v>
      </c>
      <c r="O292" s="1" t="s">
        <v>31</v>
      </c>
      <c r="P292" s="1" t="s">
        <v>812</v>
      </c>
      <c r="Q292" s="1" t="s">
        <v>1039</v>
      </c>
      <c r="R292" s="1" t="s">
        <v>1054</v>
      </c>
      <c r="S292" s="1" t="s">
        <v>1041</v>
      </c>
      <c r="T292" s="1" t="s">
        <v>2907</v>
      </c>
      <c r="U292" s="1" t="s">
        <v>31</v>
      </c>
      <c r="V292" s="5"/>
      <c r="W292" s="5"/>
      <c r="X292" s="5"/>
      <c r="Y292" s="5"/>
      <c r="Z292" s="5"/>
    </row>
    <row r="293" ht="14.25" hidden="1" customHeight="1">
      <c r="A293" s="1" t="s">
        <v>3949</v>
      </c>
      <c r="B293" s="1">
        <v>2.1000135E7</v>
      </c>
      <c r="C293" s="1" t="str">
        <f>VLOOKUP(B293,Equipment!A$1:J$470,9,0)</f>
        <v>E</v>
      </c>
      <c r="D293" s="1" t="s">
        <v>3259</v>
      </c>
      <c r="E293" s="1">
        <v>1501.0</v>
      </c>
      <c r="F293" s="1" t="s">
        <v>3956</v>
      </c>
      <c r="G293" s="1" t="s">
        <v>1219</v>
      </c>
      <c r="H293" s="1" t="s">
        <v>768</v>
      </c>
      <c r="I293" s="1" t="s">
        <v>1676</v>
      </c>
      <c r="J293" s="1" t="s">
        <v>1676</v>
      </c>
      <c r="K293" s="1" t="s">
        <v>1676</v>
      </c>
      <c r="L293" s="1" t="s">
        <v>3957</v>
      </c>
      <c r="M293" s="1" t="s">
        <v>51</v>
      </c>
      <c r="N293" s="1" t="s">
        <v>737</v>
      </c>
      <c r="O293" s="1" t="s">
        <v>31</v>
      </c>
      <c r="P293" s="1" t="s">
        <v>776</v>
      </c>
      <c r="Q293" s="1" t="s">
        <v>741</v>
      </c>
      <c r="R293" s="1" t="s">
        <v>1638</v>
      </c>
      <c r="S293" s="1" t="s">
        <v>745</v>
      </c>
      <c r="T293" s="1" t="s">
        <v>747</v>
      </c>
      <c r="U293" s="1" t="s">
        <v>31</v>
      </c>
      <c r="V293" s="5"/>
      <c r="W293" s="5"/>
      <c r="X293" s="5"/>
      <c r="Y293" s="5"/>
      <c r="Z293" s="5"/>
    </row>
    <row r="294" ht="14.25" hidden="1" customHeight="1">
      <c r="A294" s="1" t="s">
        <v>3958</v>
      </c>
      <c r="B294" s="1">
        <v>1.1000036E7</v>
      </c>
      <c r="C294" s="1" t="str">
        <f>VLOOKUP(B294,Equipment!A$1:J$470,9,0)</f>
        <v>E</v>
      </c>
      <c r="D294" s="1" t="s">
        <v>200</v>
      </c>
      <c r="E294" s="1">
        <v>1001.0</v>
      </c>
      <c r="F294" s="1" t="s">
        <v>1854</v>
      </c>
      <c r="G294" s="1" t="s">
        <v>1233</v>
      </c>
      <c r="H294" s="1" t="s">
        <v>768</v>
      </c>
      <c r="I294" s="1" t="s">
        <v>1490</v>
      </c>
      <c r="J294" s="1" t="s">
        <v>1490</v>
      </c>
      <c r="K294" s="1" t="s">
        <v>1490</v>
      </c>
      <c r="L294" s="1" t="s">
        <v>1237</v>
      </c>
      <c r="M294" s="1" t="s">
        <v>51</v>
      </c>
      <c r="N294" s="1" t="s">
        <v>737</v>
      </c>
      <c r="O294" s="1" t="s">
        <v>31</v>
      </c>
      <c r="P294" s="1" t="s">
        <v>789</v>
      </c>
      <c r="Q294" s="1" t="s">
        <v>948</v>
      </c>
      <c r="R294" s="1" t="s">
        <v>1241</v>
      </c>
      <c r="S294" s="1" t="s">
        <v>1139</v>
      </c>
      <c r="T294" s="1" t="s">
        <v>1140</v>
      </c>
      <c r="U294" s="1" t="s">
        <v>31</v>
      </c>
      <c r="V294" s="5"/>
      <c r="W294" s="5"/>
      <c r="X294" s="5"/>
      <c r="Y294" s="5"/>
      <c r="Z294" s="5"/>
    </row>
    <row r="295" ht="14.25" customHeight="1">
      <c r="A295" s="1" t="s">
        <v>3970</v>
      </c>
      <c r="B295" s="1">
        <v>1.1000052E7</v>
      </c>
      <c r="C295" s="1" t="str">
        <f>VLOOKUP(B295,Equipment!A$1:J$470,9,0)</f>
        <v>E</v>
      </c>
      <c r="D295" s="1" t="s">
        <v>228</v>
      </c>
      <c r="E295" s="1">
        <v>2501.0</v>
      </c>
      <c r="F295" s="1" t="s">
        <v>3973</v>
      </c>
      <c r="G295" s="1" t="s">
        <v>1820</v>
      </c>
      <c r="H295" s="1" t="s">
        <v>768</v>
      </c>
      <c r="I295" s="1" t="s">
        <v>1490</v>
      </c>
      <c r="J295" s="1" t="s">
        <v>1490</v>
      </c>
      <c r="K295" s="1" t="s">
        <v>1317</v>
      </c>
      <c r="L295" s="1" t="s">
        <v>2797</v>
      </c>
      <c r="M295" s="1" t="s">
        <v>51</v>
      </c>
      <c r="N295" s="1" t="s">
        <v>737</v>
      </c>
      <c r="O295" s="1" t="s">
        <v>31</v>
      </c>
      <c r="P295" s="1" t="s">
        <v>3974</v>
      </c>
      <c r="Q295" s="1" t="s">
        <v>1039</v>
      </c>
      <c r="R295" s="1" t="s">
        <v>3975</v>
      </c>
      <c r="S295" s="1" t="s">
        <v>1041</v>
      </c>
      <c r="T295" s="1" t="s">
        <v>1055</v>
      </c>
      <c r="U295" s="1" t="s">
        <v>31</v>
      </c>
      <c r="V295" s="5"/>
      <c r="W295" s="5"/>
      <c r="X295" s="5"/>
      <c r="Y295" s="5"/>
      <c r="Z295" s="5"/>
    </row>
    <row r="296" ht="14.25" customHeight="1">
      <c r="A296" s="1" t="s">
        <v>3979</v>
      </c>
      <c r="B296" s="1">
        <v>1.1000055E7</v>
      </c>
      <c r="C296" s="1" t="str">
        <f>VLOOKUP(B296,Equipment!A$1:J$470,9,0)</f>
        <v>E</v>
      </c>
      <c r="D296" s="1" t="s">
        <v>247</v>
      </c>
      <c r="E296" s="1">
        <v>2501.0</v>
      </c>
      <c r="F296" s="1" t="s">
        <v>3981</v>
      </c>
      <c r="G296" s="1" t="s">
        <v>1034</v>
      </c>
      <c r="H296" s="1" t="s">
        <v>768</v>
      </c>
      <c r="I296" s="1" t="s">
        <v>1490</v>
      </c>
      <c r="J296" s="1" t="s">
        <v>1490</v>
      </c>
      <c r="K296" s="1" t="s">
        <v>1317</v>
      </c>
      <c r="L296" s="1" t="s">
        <v>1037</v>
      </c>
      <c r="M296" s="1" t="s">
        <v>51</v>
      </c>
      <c r="N296" s="1" t="s">
        <v>737</v>
      </c>
      <c r="O296" s="1" t="s">
        <v>31</v>
      </c>
      <c r="P296" s="1" t="s">
        <v>1331</v>
      </c>
      <c r="Q296" s="1" t="s">
        <v>1039</v>
      </c>
      <c r="R296" s="1" t="s">
        <v>1054</v>
      </c>
      <c r="S296" s="1" t="s">
        <v>1041</v>
      </c>
      <c r="T296" s="1" t="s">
        <v>3988</v>
      </c>
      <c r="U296" s="1" t="s">
        <v>31</v>
      </c>
      <c r="V296" s="5"/>
      <c r="W296" s="5"/>
      <c r="X296" s="5"/>
      <c r="Y296" s="5"/>
      <c r="Z296" s="5"/>
    </row>
    <row r="297" ht="14.25" hidden="1" customHeight="1">
      <c r="A297" s="1" t="s">
        <v>3990</v>
      </c>
      <c r="B297" s="1">
        <v>1.1000152E7</v>
      </c>
      <c r="C297" s="1" t="str">
        <f>VLOOKUP(B297,Equipment!A$1:J$470,9,0)</f>
        <v>E</v>
      </c>
      <c r="D297" s="1" t="s">
        <v>340</v>
      </c>
      <c r="E297" s="1">
        <v>1501.0</v>
      </c>
      <c r="F297" s="1" t="s">
        <v>3084</v>
      </c>
      <c r="G297" s="1" t="s">
        <v>2286</v>
      </c>
      <c r="H297" s="1" t="s">
        <v>768</v>
      </c>
      <c r="I297" s="1" t="s">
        <v>1490</v>
      </c>
      <c r="J297" s="1" t="s">
        <v>1490</v>
      </c>
      <c r="K297" s="1" t="s">
        <v>1490</v>
      </c>
      <c r="L297" s="1" t="s">
        <v>3995</v>
      </c>
      <c r="M297" s="1" t="s">
        <v>51</v>
      </c>
      <c r="N297" s="1" t="s">
        <v>737</v>
      </c>
      <c r="O297" s="1" t="s">
        <v>31</v>
      </c>
      <c r="P297" s="1" t="s">
        <v>789</v>
      </c>
      <c r="Q297" s="1" t="s">
        <v>741</v>
      </c>
      <c r="R297" s="1" t="s">
        <v>3996</v>
      </c>
      <c r="S297" s="1" t="s">
        <v>745</v>
      </c>
      <c r="T297" s="1" t="s">
        <v>3997</v>
      </c>
      <c r="U297" s="1" t="s">
        <v>31</v>
      </c>
      <c r="V297" s="5"/>
      <c r="W297" s="5"/>
      <c r="X297" s="5"/>
      <c r="Y297" s="5"/>
      <c r="Z297" s="5"/>
    </row>
    <row r="298" ht="14.25" hidden="1" customHeight="1">
      <c r="A298" s="1" t="s">
        <v>3999</v>
      </c>
      <c r="B298" s="1">
        <v>1.1000153E7</v>
      </c>
      <c r="C298" s="1" t="str">
        <f>VLOOKUP(B298,Equipment!A$1:J$470,9,0)</f>
        <v>E</v>
      </c>
      <c r="D298" s="1" t="s">
        <v>344</v>
      </c>
      <c r="E298" s="1">
        <v>1501.0</v>
      </c>
      <c r="F298" s="1" t="s">
        <v>3084</v>
      </c>
      <c r="G298" s="1" t="s">
        <v>2286</v>
      </c>
      <c r="H298" s="1" t="s">
        <v>768</v>
      </c>
      <c r="I298" s="1" t="s">
        <v>1490</v>
      </c>
      <c r="J298" s="1" t="s">
        <v>1490</v>
      </c>
      <c r="K298" s="1" t="s">
        <v>1490</v>
      </c>
      <c r="L298" s="1" t="s">
        <v>4004</v>
      </c>
      <c r="M298" s="1" t="s">
        <v>51</v>
      </c>
      <c r="N298" s="1" t="s">
        <v>737</v>
      </c>
      <c r="O298" s="1" t="s">
        <v>31</v>
      </c>
      <c r="P298" s="1" t="s">
        <v>789</v>
      </c>
      <c r="Q298" s="1" t="s">
        <v>741</v>
      </c>
      <c r="R298" s="1" t="s">
        <v>4005</v>
      </c>
      <c r="S298" s="1" t="s">
        <v>745</v>
      </c>
      <c r="T298" s="1" t="s">
        <v>3997</v>
      </c>
      <c r="U298" s="1" t="s">
        <v>31</v>
      </c>
      <c r="V298" s="5"/>
      <c r="W298" s="5"/>
      <c r="X298" s="5"/>
      <c r="Y298" s="5"/>
      <c r="Z298" s="5"/>
    </row>
    <row r="299" ht="14.25" hidden="1" customHeight="1">
      <c r="A299" s="1" t="s">
        <v>4006</v>
      </c>
      <c r="B299" s="1">
        <v>1.1000214E7</v>
      </c>
      <c r="C299" s="1" t="str">
        <f>VLOOKUP(B299,Equipment!A$1:J$470,9,0)</f>
        <v>E</v>
      </c>
      <c r="D299" s="1" t="s">
        <v>432</v>
      </c>
      <c r="E299" s="1">
        <v>2001.0</v>
      </c>
      <c r="F299" s="1" t="s">
        <v>766</v>
      </c>
      <c r="G299" s="1" t="s">
        <v>1176</v>
      </c>
      <c r="H299" s="1" t="s">
        <v>768</v>
      </c>
      <c r="I299" s="1" t="s">
        <v>1490</v>
      </c>
      <c r="J299" s="1" t="s">
        <v>1490</v>
      </c>
      <c r="K299" s="1" t="s">
        <v>1490</v>
      </c>
      <c r="L299" s="1" t="s">
        <v>4007</v>
      </c>
      <c r="M299" s="1" t="s">
        <v>51</v>
      </c>
      <c r="N299" s="1" t="s">
        <v>737</v>
      </c>
      <c r="O299" s="1" t="s">
        <v>31</v>
      </c>
      <c r="P299" s="1" t="s">
        <v>1285</v>
      </c>
      <c r="Q299" s="1" t="s">
        <v>777</v>
      </c>
      <c r="R299" s="1" t="s">
        <v>3478</v>
      </c>
      <c r="S299" s="1" t="s">
        <v>779</v>
      </c>
      <c r="T299" s="1" t="s">
        <v>4011</v>
      </c>
      <c r="U299" s="1" t="s">
        <v>31</v>
      </c>
      <c r="V299" s="5"/>
      <c r="W299" s="5"/>
      <c r="X299" s="5"/>
      <c r="Y299" s="5"/>
      <c r="Z299" s="5"/>
    </row>
    <row r="300" ht="14.25" hidden="1" customHeight="1">
      <c r="A300" s="1" t="s">
        <v>4014</v>
      </c>
      <c r="B300" s="1">
        <v>1.1000324E7</v>
      </c>
      <c r="C300" s="1" t="str">
        <f>VLOOKUP(B300,Equipment!A$1:J$470,9,0)</f>
        <v>E</v>
      </c>
      <c r="D300" s="1" t="s">
        <v>739</v>
      </c>
      <c r="E300" s="1">
        <v>2001.0</v>
      </c>
      <c r="F300" s="1" t="s">
        <v>785</v>
      </c>
      <c r="G300" s="1" t="s">
        <v>131</v>
      </c>
      <c r="H300" s="1" t="s">
        <v>768</v>
      </c>
      <c r="I300" s="1" t="s">
        <v>1490</v>
      </c>
      <c r="J300" s="1" t="s">
        <v>1490</v>
      </c>
      <c r="K300" s="1" t="s">
        <v>1490</v>
      </c>
      <c r="L300" s="1" t="s">
        <v>4015</v>
      </c>
      <c r="M300" s="1" t="s">
        <v>51</v>
      </c>
      <c r="N300" s="1" t="s">
        <v>737</v>
      </c>
      <c r="O300" s="1" t="s">
        <v>4016</v>
      </c>
      <c r="P300" s="1" t="s">
        <v>812</v>
      </c>
      <c r="Q300" s="1" t="s">
        <v>777</v>
      </c>
      <c r="R300" s="1" t="s">
        <v>874</v>
      </c>
      <c r="S300" s="1" t="s">
        <v>779</v>
      </c>
      <c r="T300" s="1" t="s">
        <v>4017</v>
      </c>
      <c r="U300" s="1" t="s">
        <v>31</v>
      </c>
      <c r="V300" s="5"/>
      <c r="W300" s="5"/>
      <c r="X300" s="5"/>
      <c r="Y300" s="5"/>
      <c r="Z300" s="5"/>
    </row>
    <row r="301" ht="14.25" hidden="1" customHeight="1">
      <c r="A301" s="1" t="s">
        <v>4018</v>
      </c>
      <c r="B301" s="1">
        <v>1.1000389E7</v>
      </c>
      <c r="C301" s="1" t="str">
        <f>VLOOKUP(B301,Equipment!A$1:J$470,9,0)</f>
        <v>E</v>
      </c>
      <c r="D301" s="1" t="s">
        <v>60</v>
      </c>
      <c r="E301" s="1">
        <v>1041.0</v>
      </c>
      <c r="F301" s="1" t="s">
        <v>4024</v>
      </c>
      <c r="G301" s="1" t="s">
        <v>68</v>
      </c>
      <c r="H301" s="1" t="s">
        <v>768</v>
      </c>
      <c r="I301" s="1" t="s">
        <v>1490</v>
      </c>
      <c r="J301" s="1" t="s">
        <v>1490</v>
      </c>
      <c r="K301" s="1" t="s">
        <v>31</v>
      </c>
      <c r="L301" s="1" t="s">
        <v>3379</v>
      </c>
      <c r="M301" s="1" t="s">
        <v>51</v>
      </c>
      <c r="N301" s="1" t="s">
        <v>737</v>
      </c>
      <c r="O301" s="1" t="s">
        <v>31</v>
      </c>
      <c r="P301" s="1" t="s">
        <v>1345</v>
      </c>
      <c r="Q301" s="1" t="s">
        <v>948</v>
      </c>
      <c r="R301" s="1" t="s">
        <v>949</v>
      </c>
      <c r="S301" s="1" t="s">
        <v>950</v>
      </c>
      <c r="T301" s="1" t="s">
        <v>3382</v>
      </c>
      <c r="U301" s="1" t="s">
        <v>31</v>
      </c>
      <c r="V301" s="5"/>
      <c r="W301" s="5"/>
      <c r="X301" s="5"/>
      <c r="Y301" s="5"/>
      <c r="Z301" s="5"/>
    </row>
    <row r="302" ht="14.25" hidden="1" customHeight="1">
      <c r="A302" s="1" t="s">
        <v>4028</v>
      </c>
      <c r="B302" s="1">
        <v>1.1000397E7</v>
      </c>
      <c r="C302" s="1" t="str">
        <f>VLOOKUP(B302,Equipment!A$1:J$470,9,0)</f>
        <v>E</v>
      </c>
      <c r="D302" s="1" t="s">
        <v>913</v>
      </c>
      <c r="E302" s="1">
        <v>1041.0</v>
      </c>
      <c r="F302" s="1" t="s">
        <v>4030</v>
      </c>
      <c r="G302" s="1" t="s">
        <v>1412</v>
      </c>
      <c r="H302" s="1" t="s">
        <v>768</v>
      </c>
      <c r="I302" s="1" t="s">
        <v>1490</v>
      </c>
      <c r="J302" s="1" t="s">
        <v>1490</v>
      </c>
      <c r="K302" s="1" t="s">
        <v>1317</v>
      </c>
      <c r="L302" s="1" t="s">
        <v>1413</v>
      </c>
      <c r="M302" s="1" t="s">
        <v>51</v>
      </c>
      <c r="N302" s="1" t="s">
        <v>737</v>
      </c>
      <c r="O302" s="1" t="s">
        <v>31</v>
      </c>
      <c r="P302" s="1" t="s">
        <v>2881</v>
      </c>
      <c r="Q302" s="1" t="s">
        <v>948</v>
      </c>
      <c r="R302" s="1" t="s">
        <v>1414</v>
      </c>
      <c r="S302" s="1" t="s">
        <v>950</v>
      </c>
      <c r="T302" s="1" t="s">
        <v>1415</v>
      </c>
      <c r="U302" s="1" t="s">
        <v>31</v>
      </c>
      <c r="V302" s="5"/>
      <c r="W302" s="5"/>
      <c r="X302" s="5"/>
      <c r="Y302" s="5"/>
      <c r="Z302" s="5"/>
    </row>
    <row r="303" ht="14.25" hidden="1" customHeight="1">
      <c r="A303" s="1" t="s">
        <v>4033</v>
      </c>
      <c r="B303" s="1">
        <v>1.1000521E7</v>
      </c>
      <c r="C303" s="1" t="str">
        <f>VLOOKUP(B303,Equipment!A$1:J$470,9,0)</f>
        <v>E</v>
      </c>
      <c r="D303" s="1" t="s">
        <v>1119</v>
      </c>
      <c r="E303" s="1">
        <v>1041.0</v>
      </c>
      <c r="F303" s="1" t="s">
        <v>4037</v>
      </c>
      <c r="G303" s="1" t="s">
        <v>68</v>
      </c>
      <c r="H303" s="1" t="s">
        <v>768</v>
      </c>
      <c r="I303" s="1" t="s">
        <v>1490</v>
      </c>
      <c r="J303" s="1" t="s">
        <v>1490</v>
      </c>
      <c r="K303" s="1" t="s">
        <v>1317</v>
      </c>
      <c r="L303" s="1" t="s">
        <v>2206</v>
      </c>
      <c r="M303" s="1" t="s">
        <v>51</v>
      </c>
      <c r="N303" s="1" t="s">
        <v>737</v>
      </c>
      <c r="O303" s="1" t="s">
        <v>31</v>
      </c>
      <c r="P303" s="1" t="s">
        <v>789</v>
      </c>
      <c r="Q303" s="1" t="s">
        <v>948</v>
      </c>
      <c r="R303" s="1" t="s">
        <v>965</v>
      </c>
      <c r="S303" s="1" t="s">
        <v>950</v>
      </c>
      <c r="T303" s="1" t="s">
        <v>2208</v>
      </c>
      <c r="U303" s="1" t="s">
        <v>31</v>
      </c>
      <c r="V303" s="5"/>
      <c r="W303" s="5"/>
      <c r="X303" s="5"/>
      <c r="Y303" s="5"/>
      <c r="Z303" s="5"/>
    </row>
    <row r="304" ht="14.25" hidden="1" customHeight="1">
      <c r="A304" s="1" t="s">
        <v>4038</v>
      </c>
      <c r="B304" s="1">
        <v>1.1000761E7</v>
      </c>
      <c r="C304" s="1" t="str">
        <f>VLOOKUP(B304,Equipment!A$1:J$470,9,0)</f>
        <v>E</v>
      </c>
      <c r="D304" s="1" t="s">
        <v>1741</v>
      </c>
      <c r="E304" s="1">
        <v>2001.0</v>
      </c>
      <c r="F304" s="1" t="s">
        <v>766</v>
      </c>
      <c r="G304" s="1" t="s">
        <v>121</v>
      </c>
      <c r="H304" s="1" t="s">
        <v>31</v>
      </c>
      <c r="I304" s="1" t="s">
        <v>1490</v>
      </c>
      <c r="J304" s="1" t="s">
        <v>1490</v>
      </c>
      <c r="K304" s="1" t="s">
        <v>1490</v>
      </c>
      <c r="L304" s="1" t="s">
        <v>4045</v>
      </c>
      <c r="M304" s="1" t="s">
        <v>51</v>
      </c>
      <c r="N304" s="1" t="s">
        <v>737</v>
      </c>
      <c r="O304" s="1" t="s">
        <v>31</v>
      </c>
      <c r="P304" s="1" t="s">
        <v>1285</v>
      </c>
      <c r="Q304" s="1" t="s">
        <v>777</v>
      </c>
      <c r="R304" s="1" t="s">
        <v>842</v>
      </c>
      <c r="S304" s="1" t="s">
        <v>779</v>
      </c>
      <c r="T304" s="1" t="s">
        <v>4046</v>
      </c>
      <c r="U304" s="1" t="s">
        <v>31</v>
      </c>
      <c r="V304" s="5"/>
      <c r="W304" s="5"/>
      <c r="X304" s="5"/>
      <c r="Y304" s="5"/>
      <c r="Z304" s="5"/>
    </row>
    <row r="305" ht="14.25" hidden="1" customHeight="1">
      <c r="A305" s="1" t="s">
        <v>4048</v>
      </c>
      <c r="B305" s="1">
        <v>1.1000761E7</v>
      </c>
      <c r="C305" s="1" t="str">
        <f>VLOOKUP(B305,Equipment!A$1:J$470,9,0)</f>
        <v>E</v>
      </c>
      <c r="D305" s="1" t="s">
        <v>1741</v>
      </c>
      <c r="E305" s="1">
        <v>2001.0</v>
      </c>
      <c r="F305" s="1" t="s">
        <v>846</v>
      </c>
      <c r="G305" s="1" t="s">
        <v>121</v>
      </c>
      <c r="H305" s="1" t="s">
        <v>31</v>
      </c>
      <c r="I305" s="1" t="s">
        <v>1490</v>
      </c>
      <c r="J305" s="1" t="s">
        <v>1490</v>
      </c>
      <c r="K305" s="1" t="s">
        <v>1490</v>
      </c>
      <c r="L305" s="1" t="s">
        <v>4045</v>
      </c>
      <c r="M305" s="1" t="s">
        <v>51</v>
      </c>
      <c r="N305" s="1" t="s">
        <v>737</v>
      </c>
      <c r="O305" s="1" t="s">
        <v>31</v>
      </c>
      <c r="P305" s="1" t="s">
        <v>1188</v>
      </c>
      <c r="Q305" s="1" t="s">
        <v>777</v>
      </c>
      <c r="R305" s="1" t="s">
        <v>842</v>
      </c>
      <c r="S305" s="1" t="s">
        <v>779</v>
      </c>
      <c r="T305" s="1" t="s">
        <v>4046</v>
      </c>
      <c r="U305" s="1" t="s">
        <v>31</v>
      </c>
      <c r="V305" s="5"/>
      <c r="W305" s="5"/>
      <c r="X305" s="5"/>
      <c r="Y305" s="5"/>
      <c r="Z305" s="5"/>
    </row>
    <row r="306" ht="14.25" hidden="1" customHeight="1">
      <c r="A306" s="1" t="s">
        <v>4054</v>
      </c>
      <c r="B306" s="1">
        <v>1.1000761E7</v>
      </c>
      <c r="C306" s="1" t="str">
        <f>VLOOKUP(B306,Equipment!A$1:J$470,9,0)</f>
        <v>E</v>
      </c>
      <c r="D306" s="1" t="s">
        <v>1741</v>
      </c>
      <c r="E306" s="1">
        <v>2001.0</v>
      </c>
      <c r="F306" s="1" t="s">
        <v>785</v>
      </c>
      <c r="G306" s="1" t="s">
        <v>121</v>
      </c>
      <c r="H306" s="1" t="s">
        <v>31</v>
      </c>
      <c r="I306" s="1" t="s">
        <v>1490</v>
      </c>
      <c r="J306" s="1" t="s">
        <v>1490</v>
      </c>
      <c r="K306" s="1" t="s">
        <v>1490</v>
      </c>
      <c r="L306" s="1" t="s">
        <v>4045</v>
      </c>
      <c r="M306" s="1" t="s">
        <v>51</v>
      </c>
      <c r="N306" s="1" t="s">
        <v>737</v>
      </c>
      <c r="O306" s="1" t="s">
        <v>31</v>
      </c>
      <c r="P306" s="1" t="s">
        <v>4061</v>
      </c>
      <c r="Q306" s="1" t="s">
        <v>777</v>
      </c>
      <c r="R306" s="1" t="s">
        <v>842</v>
      </c>
      <c r="S306" s="1" t="s">
        <v>779</v>
      </c>
      <c r="T306" s="1" t="s">
        <v>4046</v>
      </c>
      <c r="U306" s="1" t="s">
        <v>31</v>
      </c>
      <c r="V306" s="5"/>
      <c r="W306" s="5"/>
      <c r="X306" s="5"/>
      <c r="Y306" s="5"/>
      <c r="Z306" s="5"/>
    </row>
    <row r="307" ht="14.25" hidden="1" customHeight="1">
      <c r="A307" s="1" t="s">
        <v>4062</v>
      </c>
      <c r="B307" s="1">
        <v>1.100079E7</v>
      </c>
      <c r="C307" s="1" t="str">
        <f>VLOOKUP(B307,Equipment!A$1:J$470,9,0)</f>
        <v>E</v>
      </c>
      <c r="D307" s="1" t="s">
        <v>1778</v>
      </c>
      <c r="E307" s="1">
        <v>1002.0</v>
      </c>
      <c r="F307" s="1" t="s">
        <v>4070</v>
      </c>
      <c r="G307" s="1" t="s">
        <v>131</v>
      </c>
      <c r="H307" s="1" t="s">
        <v>768</v>
      </c>
      <c r="I307" s="1" t="s">
        <v>1490</v>
      </c>
      <c r="J307" s="1" t="s">
        <v>1490</v>
      </c>
      <c r="K307" s="1" t="s">
        <v>1490</v>
      </c>
      <c r="L307" s="1" t="s">
        <v>1269</v>
      </c>
      <c r="M307" s="1" t="s">
        <v>51</v>
      </c>
      <c r="N307" s="1" t="s">
        <v>737</v>
      </c>
      <c r="O307" s="1" t="s">
        <v>31</v>
      </c>
      <c r="P307" s="1" t="s">
        <v>1671</v>
      </c>
      <c r="Q307" s="1" t="s">
        <v>948</v>
      </c>
      <c r="R307" s="1" t="s">
        <v>1286</v>
      </c>
      <c r="S307" s="1" t="s">
        <v>1000</v>
      </c>
      <c r="T307" s="1" t="s">
        <v>1288</v>
      </c>
      <c r="U307" s="1" t="s">
        <v>31</v>
      </c>
      <c r="V307" s="5"/>
      <c r="W307" s="5"/>
      <c r="X307" s="5"/>
      <c r="Y307" s="5"/>
      <c r="Z307" s="5"/>
    </row>
    <row r="308" ht="14.25" customHeight="1">
      <c r="A308" s="1" t="s">
        <v>4071</v>
      </c>
      <c r="B308" s="1">
        <v>1.1000044E7</v>
      </c>
      <c r="C308" s="1" t="str">
        <f>VLOOKUP(B308,Equipment!A$1:J$470,9,0)</f>
        <v>E</v>
      </c>
      <c r="D308" s="1" t="s">
        <v>213</v>
      </c>
      <c r="E308" s="1">
        <v>2501.0</v>
      </c>
      <c r="F308" s="1" t="s">
        <v>4078</v>
      </c>
      <c r="G308" s="1" t="s">
        <v>2793</v>
      </c>
      <c r="H308" s="1" t="s">
        <v>768</v>
      </c>
      <c r="I308" s="1" t="s">
        <v>1317</v>
      </c>
      <c r="J308" s="1" t="s">
        <v>1317</v>
      </c>
      <c r="K308" s="1" t="s">
        <v>1317</v>
      </c>
      <c r="L308" s="1" t="s">
        <v>1374</v>
      </c>
      <c r="M308" s="1" t="s">
        <v>51</v>
      </c>
      <c r="N308" s="1" t="s">
        <v>737</v>
      </c>
      <c r="O308" s="1" t="s">
        <v>31</v>
      </c>
      <c r="P308" s="1" t="s">
        <v>789</v>
      </c>
      <c r="Q308" s="1" t="s">
        <v>1039</v>
      </c>
      <c r="R308" s="1" t="s">
        <v>4079</v>
      </c>
      <c r="S308" s="1" t="s">
        <v>1041</v>
      </c>
      <c r="T308" s="1" t="s">
        <v>1378</v>
      </c>
      <c r="U308" s="1" t="s">
        <v>31</v>
      </c>
      <c r="V308" s="5"/>
      <c r="W308" s="5"/>
      <c r="X308" s="5"/>
      <c r="Y308" s="5"/>
      <c r="Z308" s="5"/>
    </row>
    <row r="309" ht="14.25" hidden="1" customHeight="1">
      <c r="A309" s="1" t="s">
        <v>4082</v>
      </c>
      <c r="B309" s="1">
        <v>1.1000292E7</v>
      </c>
      <c r="C309" s="1" t="str">
        <f>VLOOKUP(B309,Equipment!A$1:J$470,9,0)</f>
        <v>E</v>
      </c>
      <c r="D309" s="1" t="s">
        <v>589</v>
      </c>
      <c r="E309" s="1">
        <v>2001.0</v>
      </c>
      <c r="F309" s="1" t="s">
        <v>785</v>
      </c>
      <c r="G309" s="1" t="s">
        <v>491</v>
      </c>
      <c r="H309" s="1" t="s">
        <v>768</v>
      </c>
      <c r="I309" s="1" t="s">
        <v>1317</v>
      </c>
      <c r="J309" s="1" t="s">
        <v>1317</v>
      </c>
      <c r="K309" s="1" t="s">
        <v>1317</v>
      </c>
      <c r="L309" s="1" t="s">
        <v>2176</v>
      </c>
      <c r="M309" s="1" t="s">
        <v>51</v>
      </c>
      <c r="N309" s="1" t="s">
        <v>737</v>
      </c>
      <c r="O309" s="1" t="s">
        <v>31</v>
      </c>
      <c r="P309" s="1" t="s">
        <v>789</v>
      </c>
      <c r="Q309" s="1" t="s">
        <v>777</v>
      </c>
      <c r="R309" s="1" t="s">
        <v>928</v>
      </c>
      <c r="S309" s="1" t="s">
        <v>779</v>
      </c>
      <c r="T309" s="1" t="s">
        <v>4087</v>
      </c>
      <c r="U309" s="1" t="s">
        <v>31</v>
      </c>
      <c r="V309" s="5"/>
      <c r="W309" s="5"/>
      <c r="X309" s="5"/>
      <c r="Y309" s="5"/>
      <c r="Z309" s="5"/>
    </row>
    <row r="310" ht="14.25" hidden="1" customHeight="1">
      <c r="A310" s="1" t="s">
        <v>4091</v>
      </c>
      <c r="B310" s="1">
        <v>1.1000324E7</v>
      </c>
      <c r="C310" s="1" t="str">
        <f>VLOOKUP(B310,Equipment!A$1:J$470,9,0)</f>
        <v>E</v>
      </c>
      <c r="D310" s="1" t="s">
        <v>739</v>
      </c>
      <c r="E310" s="1">
        <v>2001.0</v>
      </c>
      <c r="F310" s="1" t="s">
        <v>766</v>
      </c>
      <c r="G310" s="1" t="s">
        <v>131</v>
      </c>
      <c r="H310" s="1" t="s">
        <v>768</v>
      </c>
      <c r="I310" s="1" t="s">
        <v>1317</v>
      </c>
      <c r="J310" s="1" t="s">
        <v>1317</v>
      </c>
      <c r="K310" s="1" t="s">
        <v>1317</v>
      </c>
      <c r="L310" s="1" t="s">
        <v>4015</v>
      </c>
      <c r="M310" s="1" t="s">
        <v>51</v>
      </c>
      <c r="N310" s="1" t="s">
        <v>737</v>
      </c>
      <c r="O310" s="1" t="s">
        <v>4016</v>
      </c>
      <c r="P310" s="1" t="s">
        <v>776</v>
      </c>
      <c r="Q310" s="1" t="s">
        <v>777</v>
      </c>
      <c r="R310" s="1" t="s">
        <v>874</v>
      </c>
      <c r="S310" s="1" t="s">
        <v>779</v>
      </c>
      <c r="T310" s="1" t="s">
        <v>4017</v>
      </c>
      <c r="U310" s="1" t="s">
        <v>31</v>
      </c>
      <c r="V310" s="5"/>
      <c r="W310" s="5"/>
      <c r="X310" s="5"/>
      <c r="Y310" s="5"/>
      <c r="Z310" s="5"/>
    </row>
    <row r="311" ht="14.25" hidden="1" customHeight="1">
      <c r="A311" s="1" t="s">
        <v>4092</v>
      </c>
      <c r="B311" s="1">
        <v>1.1000339E7</v>
      </c>
      <c r="C311" s="1" t="str">
        <f>VLOOKUP(B311,Equipment!A$1:J$470,9,0)</f>
        <v>E</v>
      </c>
      <c r="D311" s="1" t="s">
        <v>794</v>
      </c>
      <c r="E311" s="1">
        <v>2001.0</v>
      </c>
      <c r="F311" s="1" t="s">
        <v>785</v>
      </c>
      <c r="G311" s="1" t="s">
        <v>131</v>
      </c>
      <c r="H311" s="1" t="s">
        <v>768</v>
      </c>
      <c r="I311" s="1" t="s">
        <v>1317</v>
      </c>
      <c r="J311" s="1" t="s">
        <v>1317</v>
      </c>
      <c r="K311" s="1" t="s">
        <v>1317</v>
      </c>
      <c r="L311" s="1" t="s">
        <v>4096</v>
      </c>
      <c r="M311" s="1" t="s">
        <v>51</v>
      </c>
      <c r="N311" s="1" t="s">
        <v>737</v>
      </c>
      <c r="O311" s="1" t="s">
        <v>31</v>
      </c>
      <c r="P311" s="1" t="s">
        <v>789</v>
      </c>
      <c r="Q311" s="1" t="s">
        <v>777</v>
      </c>
      <c r="R311" s="1" t="s">
        <v>874</v>
      </c>
      <c r="S311" s="1" t="s">
        <v>779</v>
      </c>
      <c r="T311" s="1" t="s">
        <v>4097</v>
      </c>
      <c r="U311" s="1" t="s">
        <v>31</v>
      </c>
      <c r="V311" s="5"/>
      <c r="W311" s="5"/>
      <c r="X311" s="5"/>
      <c r="Y311" s="5"/>
      <c r="Z311" s="5"/>
    </row>
    <row r="312" ht="14.25" hidden="1" customHeight="1">
      <c r="A312" s="1" t="s">
        <v>4098</v>
      </c>
      <c r="B312" s="1">
        <v>1.1000339E7</v>
      </c>
      <c r="C312" s="1" t="str">
        <f>VLOOKUP(B312,Equipment!A$1:J$470,9,0)</f>
        <v>E</v>
      </c>
      <c r="D312" s="1" t="s">
        <v>794</v>
      </c>
      <c r="E312" s="1">
        <v>2001.0</v>
      </c>
      <c r="F312" s="1" t="s">
        <v>766</v>
      </c>
      <c r="G312" s="1" t="s">
        <v>131</v>
      </c>
      <c r="H312" s="1" t="s">
        <v>768</v>
      </c>
      <c r="I312" s="1" t="s">
        <v>1317</v>
      </c>
      <c r="J312" s="1" t="s">
        <v>1317</v>
      </c>
      <c r="K312" s="1" t="s">
        <v>1317</v>
      </c>
      <c r="L312" s="1" t="s">
        <v>4096</v>
      </c>
      <c r="M312" s="1" t="s">
        <v>51</v>
      </c>
      <c r="N312" s="1" t="s">
        <v>737</v>
      </c>
      <c r="O312" s="1" t="s">
        <v>31</v>
      </c>
      <c r="P312" s="1" t="s">
        <v>776</v>
      </c>
      <c r="Q312" s="1" t="s">
        <v>777</v>
      </c>
      <c r="R312" s="1" t="s">
        <v>874</v>
      </c>
      <c r="S312" s="1" t="s">
        <v>779</v>
      </c>
      <c r="T312" s="1" t="s">
        <v>4097</v>
      </c>
      <c r="U312" s="1" t="s">
        <v>31</v>
      </c>
      <c r="V312" s="5"/>
      <c r="W312" s="5"/>
      <c r="X312" s="5"/>
      <c r="Y312" s="5"/>
      <c r="Z312" s="5"/>
    </row>
    <row r="313" ht="14.25" hidden="1" customHeight="1">
      <c r="A313" s="1" t="s">
        <v>4099</v>
      </c>
      <c r="B313" s="1">
        <v>1.1000384E7</v>
      </c>
      <c r="C313" s="1" t="str">
        <f>VLOOKUP(B313,Equipment!A$1:J$470,9,0)</f>
        <v>E</v>
      </c>
      <c r="D313" s="1" t="s">
        <v>575</v>
      </c>
      <c r="E313" s="1">
        <v>1041.0</v>
      </c>
      <c r="F313" s="1" t="s">
        <v>4105</v>
      </c>
      <c r="G313" s="1" t="s">
        <v>68</v>
      </c>
      <c r="H313" s="1" t="s">
        <v>768</v>
      </c>
      <c r="I313" s="1" t="s">
        <v>1317</v>
      </c>
      <c r="J313" s="1" t="s">
        <v>1317</v>
      </c>
      <c r="K313" s="1" t="s">
        <v>730</v>
      </c>
      <c r="L313" s="1" t="s">
        <v>3683</v>
      </c>
      <c r="M313" s="1" t="s">
        <v>51</v>
      </c>
      <c r="N313" s="1" t="s">
        <v>737</v>
      </c>
      <c r="O313" s="1" t="s">
        <v>31</v>
      </c>
      <c r="P313" s="1" t="s">
        <v>1655</v>
      </c>
      <c r="Q313" s="1" t="s">
        <v>948</v>
      </c>
      <c r="R313" s="1" t="s">
        <v>949</v>
      </c>
      <c r="S313" s="1" t="s">
        <v>950</v>
      </c>
      <c r="T313" s="1" t="s">
        <v>3684</v>
      </c>
      <c r="U313" s="1" t="s">
        <v>31</v>
      </c>
      <c r="V313" s="5"/>
      <c r="W313" s="5"/>
      <c r="X313" s="5"/>
      <c r="Y313" s="5"/>
      <c r="Z313" s="5"/>
    </row>
    <row r="314" ht="14.25" hidden="1" customHeight="1">
      <c r="A314" s="1" t="s">
        <v>4108</v>
      </c>
      <c r="B314" s="1">
        <v>1.1000501E7</v>
      </c>
      <c r="C314" s="1" t="str">
        <f>VLOOKUP(B314,Equipment!A$1:J$470,9,0)</f>
        <v>E</v>
      </c>
      <c r="D314" s="1" t="s">
        <v>1060</v>
      </c>
      <c r="E314" s="1">
        <v>1041.0</v>
      </c>
      <c r="F314" s="1" t="s">
        <v>4109</v>
      </c>
      <c r="G314" s="1" t="s">
        <v>68</v>
      </c>
      <c r="H314" s="1" t="s">
        <v>768</v>
      </c>
      <c r="I314" s="1" t="s">
        <v>1317</v>
      </c>
      <c r="J314" s="1" t="s">
        <v>1317</v>
      </c>
      <c r="K314" s="1" t="s">
        <v>1201</v>
      </c>
      <c r="L314" s="1" t="s">
        <v>4112</v>
      </c>
      <c r="M314" s="1" t="s">
        <v>51</v>
      </c>
      <c r="N314" s="1" t="s">
        <v>737</v>
      </c>
      <c r="O314" s="1" t="s">
        <v>31</v>
      </c>
      <c r="P314" s="1" t="s">
        <v>789</v>
      </c>
      <c r="Q314" s="1" t="s">
        <v>948</v>
      </c>
      <c r="R314" s="1" t="s">
        <v>965</v>
      </c>
      <c r="S314" s="1" t="s">
        <v>950</v>
      </c>
      <c r="T314" s="1" t="s">
        <v>3560</v>
      </c>
      <c r="U314" s="1" t="s">
        <v>31</v>
      </c>
      <c r="V314" s="5"/>
      <c r="W314" s="5"/>
      <c r="X314" s="5"/>
      <c r="Y314" s="5"/>
      <c r="Z314" s="5"/>
    </row>
    <row r="315" ht="14.25" hidden="1" customHeight="1">
      <c r="A315" s="1" t="s">
        <v>4117</v>
      </c>
      <c r="B315" s="1">
        <v>1.1000577E7</v>
      </c>
      <c r="C315" s="1" t="str">
        <f>VLOOKUP(B315,Equipment!A$1:J$470,9,0)</f>
        <v>E</v>
      </c>
      <c r="D315" s="1" t="s">
        <v>1349</v>
      </c>
      <c r="E315" s="1">
        <v>1031.0</v>
      </c>
      <c r="F315" s="1" t="s">
        <v>4118</v>
      </c>
      <c r="G315" s="1" t="s">
        <v>1176</v>
      </c>
      <c r="H315" s="1" t="s">
        <v>768</v>
      </c>
      <c r="I315" s="1" t="s">
        <v>1317</v>
      </c>
      <c r="J315" s="1" t="s">
        <v>1317</v>
      </c>
      <c r="K315" s="1" t="s">
        <v>31</v>
      </c>
      <c r="L315" s="1" t="s">
        <v>4119</v>
      </c>
      <c r="M315" s="1" t="s">
        <v>51</v>
      </c>
      <c r="N315" s="1" t="s">
        <v>737</v>
      </c>
      <c r="O315" s="1" t="s">
        <v>31</v>
      </c>
      <c r="P315" s="1" t="s">
        <v>776</v>
      </c>
      <c r="Q315" s="1" t="s">
        <v>948</v>
      </c>
      <c r="R315" s="1" t="s">
        <v>1986</v>
      </c>
      <c r="S315" s="1" t="s">
        <v>983</v>
      </c>
      <c r="T315" s="1" t="s">
        <v>4120</v>
      </c>
      <c r="U315" s="1" t="s">
        <v>31</v>
      </c>
      <c r="V315" s="5"/>
      <c r="W315" s="5"/>
      <c r="X315" s="5"/>
      <c r="Y315" s="5"/>
      <c r="Z315" s="5"/>
    </row>
    <row r="316" ht="14.25" hidden="1" customHeight="1">
      <c r="A316" s="1" t="s">
        <v>4122</v>
      </c>
      <c r="B316" s="1">
        <v>1.1000742E7</v>
      </c>
      <c r="C316" s="1" t="str">
        <f>VLOOKUP(B316,Equipment!A$1:J$470,9,0)</f>
        <v>E</v>
      </c>
      <c r="D316" s="1" t="s">
        <v>1716</v>
      </c>
      <c r="E316" s="1">
        <v>1501.0</v>
      </c>
      <c r="F316" s="1" t="s">
        <v>731</v>
      </c>
      <c r="G316" s="1" t="s">
        <v>4128</v>
      </c>
      <c r="H316" s="1" t="s">
        <v>31</v>
      </c>
      <c r="I316" s="1" t="s">
        <v>1317</v>
      </c>
      <c r="J316" s="1" t="s">
        <v>1317</v>
      </c>
      <c r="K316" s="1" t="s">
        <v>1317</v>
      </c>
      <c r="L316" s="1" t="s">
        <v>4129</v>
      </c>
      <c r="M316" s="1" t="s">
        <v>51</v>
      </c>
      <c r="N316" s="1" t="s">
        <v>737</v>
      </c>
      <c r="O316" s="1" t="s">
        <v>31</v>
      </c>
      <c r="P316" s="1" t="s">
        <v>761</v>
      </c>
      <c r="Q316" s="1" t="s">
        <v>741</v>
      </c>
      <c r="R316" s="1" t="s">
        <v>4130</v>
      </c>
      <c r="S316" s="1" t="s">
        <v>745</v>
      </c>
      <c r="T316" s="1" t="s">
        <v>4131</v>
      </c>
      <c r="U316" s="1" t="s">
        <v>31</v>
      </c>
      <c r="V316" s="5"/>
      <c r="W316" s="5"/>
      <c r="X316" s="5"/>
      <c r="Y316" s="5"/>
      <c r="Z316" s="5"/>
    </row>
    <row r="317" ht="14.25" hidden="1" customHeight="1">
      <c r="A317" s="1" t="s">
        <v>4132</v>
      </c>
      <c r="B317" s="1">
        <v>2.1000764E7</v>
      </c>
      <c r="C317" s="1" t="str">
        <f>VLOOKUP(B317,Equipment!A$1:J$470,9,0)</f>
        <v>#N/A</v>
      </c>
      <c r="D317" s="1" t="s">
        <v>3486</v>
      </c>
      <c r="E317" s="1">
        <v>1031.0</v>
      </c>
      <c r="F317" s="1" t="s">
        <v>4139</v>
      </c>
      <c r="G317" s="1" t="s">
        <v>1082</v>
      </c>
      <c r="H317" s="1" t="s">
        <v>768</v>
      </c>
      <c r="I317" s="1" t="s">
        <v>1317</v>
      </c>
      <c r="J317" s="1" t="s">
        <v>1317</v>
      </c>
      <c r="K317" s="1" t="s">
        <v>31</v>
      </c>
      <c r="L317" s="1" t="s">
        <v>4141</v>
      </c>
      <c r="M317" s="1" t="s">
        <v>51</v>
      </c>
      <c r="N317" s="1" t="s">
        <v>737</v>
      </c>
      <c r="O317" s="1" t="s">
        <v>31</v>
      </c>
      <c r="P317" s="1" t="s">
        <v>789</v>
      </c>
      <c r="Q317" s="1" t="s">
        <v>948</v>
      </c>
      <c r="R317" s="1" t="s">
        <v>2152</v>
      </c>
      <c r="S317" s="1" t="s">
        <v>983</v>
      </c>
      <c r="T317" s="1" t="s">
        <v>1089</v>
      </c>
      <c r="U317" s="1" t="s">
        <v>31</v>
      </c>
      <c r="V317" s="5"/>
      <c r="W317" s="5"/>
      <c r="X317" s="5"/>
      <c r="Y317" s="5"/>
      <c r="Z317" s="5"/>
    </row>
    <row r="318" ht="14.25" hidden="1" customHeight="1">
      <c r="A318" s="1" t="s">
        <v>4142</v>
      </c>
      <c r="B318" s="1">
        <v>2.1000824E7</v>
      </c>
      <c r="C318" s="1" t="str">
        <f>VLOOKUP(B318,Equipment!A$1:J$470,9,0)</f>
        <v>#N/A</v>
      </c>
      <c r="D318" s="1" t="s">
        <v>3592</v>
      </c>
      <c r="E318" s="1">
        <v>1031.0</v>
      </c>
      <c r="F318" s="1" t="s">
        <v>4148</v>
      </c>
      <c r="G318" s="1" t="s">
        <v>1082</v>
      </c>
      <c r="H318" s="1" t="s">
        <v>768</v>
      </c>
      <c r="I318" s="1" t="s">
        <v>1317</v>
      </c>
      <c r="J318" s="1" t="s">
        <v>1317</v>
      </c>
      <c r="K318" s="1" t="s">
        <v>31</v>
      </c>
      <c r="L318" s="1" t="s">
        <v>1124</v>
      </c>
      <c r="M318" s="1" t="s">
        <v>51</v>
      </c>
      <c r="N318" s="1" t="s">
        <v>737</v>
      </c>
      <c r="O318" s="1" t="s">
        <v>31</v>
      </c>
      <c r="P318" s="1" t="s">
        <v>776</v>
      </c>
      <c r="Q318" s="1" t="s">
        <v>948</v>
      </c>
      <c r="R318" s="1" t="s">
        <v>4150</v>
      </c>
      <c r="S318" s="1" t="s">
        <v>983</v>
      </c>
      <c r="T318" s="1" t="s">
        <v>1089</v>
      </c>
      <c r="U318" s="1" t="s">
        <v>31</v>
      </c>
      <c r="V318" s="5"/>
      <c r="W318" s="5"/>
      <c r="X318" s="5"/>
      <c r="Y318" s="5"/>
      <c r="Z318" s="5"/>
    </row>
    <row r="319" ht="14.25" hidden="1" customHeight="1">
      <c r="A319" s="1" t="s">
        <v>4151</v>
      </c>
      <c r="B319" s="1">
        <v>1.1001434E7</v>
      </c>
      <c r="C319" s="1" t="str">
        <f>VLOOKUP(B319,Equipment!A$1:J$470,9,0)</f>
        <v>E</v>
      </c>
      <c r="D319" s="1" t="s">
        <v>3085</v>
      </c>
      <c r="E319" s="1">
        <v>1004.0</v>
      </c>
      <c r="F319" s="1" t="s">
        <v>4157</v>
      </c>
      <c r="G319" s="1" t="s">
        <v>2793</v>
      </c>
      <c r="H319" s="1" t="s">
        <v>768</v>
      </c>
      <c r="I319" s="1" t="s">
        <v>1490</v>
      </c>
      <c r="J319" s="1" t="s">
        <v>1201</v>
      </c>
      <c r="K319" s="1" t="s">
        <v>1201</v>
      </c>
      <c r="L319" s="1" t="s">
        <v>1213</v>
      </c>
      <c r="M319" s="1" t="s">
        <v>51</v>
      </c>
      <c r="N319" s="1" t="s">
        <v>737</v>
      </c>
      <c r="O319" s="1" t="s">
        <v>31</v>
      </c>
      <c r="P319" s="1" t="s">
        <v>998</v>
      </c>
      <c r="Q319" s="1" t="s">
        <v>948</v>
      </c>
      <c r="R319" s="1" t="s">
        <v>1368</v>
      </c>
      <c r="S319" s="1" t="s">
        <v>1220</v>
      </c>
      <c r="T319" s="1" t="s">
        <v>4159</v>
      </c>
      <c r="U319" s="1" t="s">
        <v>31</v>
      </c>
      <c r="V319" s="5"/>
      <c r="W319" s="5"/>
      <c r="X319" s="5"/>
      <c r="Y319" s="5"/>
      <c r="Z319" s="5"/>
    </row>
    <row r="320" ht="14.25" hidden="1" customHeight="1">
      <c r="A320" s="1" t="s">
        <v>4160</v>
      </c>
      <c r="B320" s="1">
        <v>1.1000249E7</v>
      </c>
      <c r="C320" s="1" t="str">
        <f>VLOOKUP(B320,Equipment!A$1:J$470,9,0)</f>
        <v>E</v>
      </c>
      <c r="D320" s="1" t="s">
        <v>501</v>
      </c>
      <c r="E320" s="1">
        <v>2001.0</v>
      </c>
      <c r="F320" s="1" t="s">
        <v>766</v>
      </c>
      <c r="G320" s="1" t="s">
        <v>1176</v>
      </c>
      <c r="H320" s="1" t="s">
        <v>768</v>
      </c>
      <c r="I320" s="1" t="s">
        <v>1201</v>
      </c>
      <c r="J320" s="1" t="s">
        <v>1201</v>
      </c>
      <c r="K320" s="1" t="s">
        <v>1201</v>
      </c>
      <c r="L320" s="1" t="s">
        <v>4166</v>
      </c>
      <c r="M320" s="1" t="s">
        <v>51</v>
      </c>
      <c r="N320" s="1" t="s">
        <v>737</v>
      </c>
      <c r="O320" s="1" t="s">
        <v>31</v>
      </c>
      <c r="P320" s="1" t="s">
        <v>776</v>
      </c>
      <c r="Q320" s="1" t="s">
        <v>777</v>
      </c>
      <c r="R320" s="1" t="s">
        <v>3478</v>
      </c>
      <c r="S320" s="1" t="s">
        <v>779</v>
      </c>
      <c r="T320" s="1" t="s">
        <v>4168</v>
      </c>
      <c r="U320" s="1" t="s">
        <v>31</v>
      </c>
      <c r="V320" s="5"/>
      <c r="W320" s="5"/>
      <c r="X320" s="5"/>
      <c r="Y320" s="5"/>
      <c r="Z320" s="5"/>
    </row>
    <row r="321" ht="14.25" hidden="1" customHeight="1">
      <c r="A321" s="1" t="s">
        <v>4169</v>
      </c>
      <c r="B321" s="1">
        <v>1.1000313E7</v>
      </c>
      <c r="C321" s="1" t="str">
        <f>VLOOKUP(B321,Equipment!A$1:J$470,9,0)</f>
        <v>E</v>
      </c>
      <c r="D321" s="1" t="s">
        <v>657</v>
      </c>
      <c r="E321" s="1">
        <v>2001.0</v>
      </c>
      <c r="F321" s="1" t="s">
        <v>785</v>
      </c>
      <c r="G321" s="1" t="s">
        <v>491</v>
      </c>
      <c r="H321" s="1" t="s">
        <v>768</v>
      </c>
      <c r="I321" s="1" t="s">
        <v>1201</v>
      </c>
      <c r="J321" s="1" t="s">
        <v>1201</v>
      </c>
      <c r="K321" s="1" t="s">
        <v>1201</v>
      </c>
      <c r="L321" s="1" t="s">
        <v>4171</v>
      </c>
      <c r="M321" s="1" t="s">
        <v>51</v>
      </c>
      <c r="N321" s="1" t="s">
        <v>737</v>
      </c>
      <c r="O321" s="1" t="s">
        <v>31</v>
      </c>
      <c r="P321" s="1" t="s">
        <v>789</v>
      </c>
      <c r="Q321" s="1" t="s">
        <v>777</v>
      </c>
      <c r="R321" s="1" t="s">
        <v>874</v>
      </c>
      <c r="S321" s="1" t="s">
        <v>779</v>
      </c>
      <c r="T321" s="1" t="s">
        <v>4172</v>
      </c>
      <c r="U321" s="1" t="s">
        <v>31</v>
      </c>
      <c r="V321" s="5"/>
      <c r="W321" s="5"/>
      <c r="X321" s="5"/>
      <c r="Y321" s="5"/>
      <c r="Z321" s="5"/>
    </row>
    <row r="322" ht="14.25" hidden="1" customHeight="1">
      <c r="A322" s="1" t="s">
        <v>4176</v>
      </c>
      <c r="B322" s="1">
        <v>1.1000377E7</v>
      </c>
      <c r="C322" s="1" t="str">
        <f>VLOOKUP(B322,Equipment!A$1:J$470,9,0)</f>
        <v>E</v>
      </c>
      <c r="D322" s="1" t="s">
        <v>825</v>
      </c>
      <c r="E322" s="1">
        <v>1041.0</v>
      </c>
      <c r="F322" s="1" t="s">
        <v>4179</v>
      </c>
      <c r="G322" s="1" t="s">
        <v>68</v>
      </c>
      <c r="H322" s="1" t="s">
        <v>768</v>
      </c>
      <c r="I322" s="1" t="s">
        <v>1201</v>
      </c>
      <c r="J322" s="1" t="s">
        <v>1201</v>
      </c>
      <c r="K322" s="1" t="s">
        <v>882</v>
      </c>
      <c r="L322" s="1" t="s">
        <v>946</v>
      </c>
      <c r="M322" s="1" t="s">
        <v>51</v>
      </c>
      <c r="N322" s="1" t="s">
        <v>737</v>
      </c>
      <c r="O322" s="1" t="s">
        <v>31</v>
      </c>
      <c r="P322" s="1" t="s">
        <v>776</v>
      </c>
      <c r="Q322" s="1" t="s">
        <v>948</v>
      </c>
      <c r="R322" s="1" t="s">
        <v>949</v>
      </c>
      <c r="S322" s="1" t="s">
        <v>950</v>
      </c>
      <c r="T322" s="1" t="s">
        <v>952</v>
      </c>
      <c r="U322" s="1" t="s">
        <v>31</v>
      </c>
      <c r="V322" s="5"/>
      <c r="W322" s="5"/>
      <c r="X322" s="5"/>
      <c r="Y322" s="5"/>
      <c r="Z322" s="5"/>
    </row>
    <row r="323" ht="14.25" hidden="1" customHeight="1">
      <c r="A323" s="1" t="s">
        <v>4180</v>
      </c>
      <c r="B323" s="1">
        <v>1.1000021E7</v>
      </c>
      <c r="C323" s="1" t="str">
        <f>VLOOKUP(B323,Equipment!A$1:J$470,9,0)</f>
        <v>E</v>
      </c>
      <c r="D323" s="1" t="s">
        <v>153</v>
      </c>
      <c r="E323" s="1">
        <v>1001.0</v>
      </c>
      <c r="F323" s="1" t="s">
        <v>785</v>
      </c>
      <c r="G323" s="1" t="s">
        <v>1233</v>
      </c>
      <c r="H323" s="1" t="s">
        <v>768</v>
      </c>
      <c r="I323" s="1" t="s">
        <v>1007</v>
      </c>
      <c r="J323" s="1" t="s">
        <v>1007</v>
      </c>
      <c r="K323" s="1" t="s">
        <v>1007</v>
      </c>
      <c r="L323" s="1" t="s">
        <v>1237</v>
      </c>
      <c r="M323" s="1" t="s">
        <v>51</v>
      </c>
      <c r="N323" s="1" t="s">
        <v>737</v>
      </c>
      <c r="O323" s="1" t="s">
        <v>31</v>
      </c>
      <c r="P323" s="1" t="s">
        <v>789</v>
      </c>
      <c r="Q323" s="1" t="s">
        <v>948</v>
      </c>
      <c r="R323" s="1" t="s">
        <v>4184</v>
      </c>
      <c r="S323" s="1" t="s">
        <v>1139</v>
      </c>
      <c r="T323" s="1" t="s">
        <v>1140</v>
      </c>
      <c r="U323" s="1" t="s">
        <v>31</v>
      </c>
      <c r="V323" s="5"/>
      <c r="W323" s="5"/>
      <c r="X323" s="5"/>
      <c r="Y323" s="5"/>
      <c r="Z323" s="5"/>
    </row>
    <row r="324" ht="14.25" hidden="1" customHeight="1">
      <c r="A324" s="1" t="s">
        <v>4185</v>
      </c>
      <c r="B324" s="1">
        <v>1.1000293E7</v>
      </c>
      <c r="C324" s="1" t="str">
        <f>VLOOKUP(B324,Equipment!A$1:J$470,9,0)</f>
        <v>E</v>
      </c>
      <c r="D324" s="1" t="s">
        <v>599</v>
      </c>
      <c r="E324" s="1">
        <v>2001.0</v>
      </c>
      <c r="F324" s="1" t="s">
        <v>785</v>
      </c>
      <c r="G324" s="1" t="s">
        <v>767</v>
      </c>
      <c r="H324" s="1" t="s">
        <v>768</v>
      </c>
      <c r="I324" s="1" t="s">
        <v>1007</v>
      </c>
      <c r="J324" s="1" t="s">
        <v>1007</v>
      </c>
      <c r="K324" s="1" t="s">
        <v>1007</v>
      </c>
      <c r="L324" s="1" t="s">
        <v>4186</v>
      </c>
      <c r="M324" s="1" t="s">
        <v>51</v>
      </c>
      <c r="N324" s="1" t="s">
        <v>737</v>
      </c>
      <c r="O324" s="1" t="s">
        <v>31</v>
      </c>
      <c r="P324" s="1" t="s">
        <v>789</v>
      </c>
      <c r="Q324" s="1" t="s">
        <v>777</v>
      </c>
      <c r="R324" s="1" t="s">
        <v>4190</v>
      </c>
      <c r="S324" s="1" t="s">
        <v>779</v>
      </c>
      <c r="T324" s="1" t="s">
        <v>4192</v>
      </c>
      <c r="U324" s="1" t="s">
        <v>31</v>
      </c>
      <c r="V324" s="5"/>
      <c r="W324" s="5"/>
      <c r="X324" s="5"/>
      <c r="Y324" s="5"/>
      <c r="Z324" s="5"/>
    </row>
    <row r="325" ht="14.25" hidden="1" customHeight="1">
      <c r="A325" s="1" t="s">
        <v>4195</v>
      </c>
      <c r="B325" s="1">
        <v>1.1000322E7</v>
      </c>
      <c r="C325" s="1" t="str">
        <f>VLOOKUP(B325,Equipment!A$1:J$470,9,0)</f>
        <v>E</v>
      </c>
      <c r="D325" s="1" t="s">
        <v>127</v>
      </c>
      <c r="E325" s="1">
        <v>2001.0</v>
      </c>
      <c r="F325" s="1" t="s">
        <v>785</v>
      </c>
      <c r="G325" s="1" t="s">
        <v>131</v>
      </c>
      <c r="H325" s="1" t="s">
        <v>768</v>
      </c>
      <c r="I325" s="1" t="s">
        <v>1007</v>
      </c>
      <c r="J325" s="1" t="s">
        <v>1007</v>
      </c>
      <c r="K325" s="1" t="s">
        <v>1007</v>
      </c>
      <c r="L325" s="1" t="s">
        <v>1947</v>
      </c>
      <c r="M325" s="1" t="s">
        <v>51</v>
      </c>
      <c r="N325" s="1" t="s">
        <v>737</v>
      </c>
      <c r="O325" s="1" t="s">
        <v>31</v>
      </c>
      <c r="P325" s="1" t="s">
        <v>812</v>
      </c>
      <c r="Q325" s="1" t="s">
        <v>777</v>
      </c>
      <c r="R325" s="1" t="s">
        <v>928</v>
      </c>
      <c r="S325" s="1" t="s">
        <v>779</v>
      </c>
      <c r="T325" s="1" t="s">
        <v>4202</v>
      </c>
      <c r="U325" s="1" t="s">
        <v>31</v>
      </c>
      <c r="V325" s="5"/>
      <c r="W325" s="5"/>
      <c r="X325" s="5"/>
      <c r="Y325" s="5"/>
      <c r="Z325" s="5"/>
    </row>
    <row r="326" ht="14.25" hidden="1" customHeight="1">
      <c r="A326" s="1" t="s">
        <v>4203</v>
      </c>
      <c r="B326" s="1">
        <v>1.1000382E7</v>
      </c>
      <c r="C326" s="1" t="str">
        <f>VLOOKUP(B326,Equipment!A$1:J$470,9,0)</f>
        <v>E</v>
      </c>
      <c r="D326" s="1" t="s">
        <v>559</v>
      </c>
      <c r="E326" s="1">
        <v>1041.0</v>
      </c>
      <c r="F326" s="1" t="s">
        <v>4206</v>
      </c>
      <c r="G326" s="1" t="s">
        <v>68</v>
      </c>
      <c r="H326" s="1" t="s">
        <v>768</v>
      </c>
      <c r="I326" s="1" t="s">
        <v>1007</v>
      </c>
      <c r="J326" s="1" t="s">
        <v>1007</v>
      </c>
      <c r="K326" s="1" t="s">
        <v>31</v>
      </c>
      <c r="L326" s="1" t="s">
        <v>946</v>
      </c>
      <c r="M326" s="1" t="s">
        <v>51</v>
      </c>
      <c r="N326" s="1" t="s">
        <v>737</v>
      </c>
      <c r="O326" s="1" t="s">
        <v>31</v>
      </c>
      <c r="P326" s="1" t="s">
        <v>1262</v>
      </c>
      <c r="Q326" s="1" t="s">
        <v>948</v>
      </c>
      <c r="R326" s="1" t="s">
        <v>949</v>
      </c>
      <c r="S326" s="1" t="s">
        <v>950</v>
      </c>
      <c r="T326" s="1" t="s">
        <v>952</v>
      </c>
      <c r="U326" s="1" t="s">
        <v>31</v>
      </c>
      <c r="V326" s="5"/>
      <c r="W326" s="5"/>
      <c r="X326" s="5"/>
      <c r="Y326" s="5"/>
      <c r="Z326" s="5"/>
    </row>
    <row r="327" ht="14.25" hidden="1" customHeight="1">
      <c r="A327" s="1" t="s">
        <v>4211</v>
      </c>
      <c r="B327" s="1">
        <v>1.1000386E7</v>
      </c>
      <c r="C327" s="1" t="str">
        <f>VLOOKUP(B327,Equipment!A$1:J$470,9,0)</f>
        <v>E</v>
      </c>
      <c r="D327" s="1" t="s">
        <v>415</v>
      </c>
      <c r="E327" s="1">
        <v>1041.0</v>
      </c>
      <c r="F327" s="1" t="s">
        <v>4212</v>
      </c>
      <c r="G327" s="1" t="s">
        <v>68</v>
      </c>
      <c r="H327" s="1" t="s">
        <v>768</v>
      </c>
      <c r="I327" s="1" t="s">
        <v>1007</v>
      </c>
      <c r="J327" s="1" t="s">
        <v>1007</v>
      </c>
      <c r="K327" s="1" t="s">
        <v>31</v>
      </c>
      <c r="L327" s="1" t="s">
        <v>3683</v>
      </c>
      <c r="M327" s="1" t="s">
        <v>51</v>
      </c>
      <c r="N327" s="1" t="s">
        <v>737</v>
      </c>
      <c r="O327" s="1" t="s">
        <v>31</v>
      </c>
      <c r="P327" s="1" t="s">
        <v>789</v>
      </c>
      <c r="Q327" s="1" t="s">
        <v>948</v>
      </c>
      <c r="R327" s="1" t="s">
        <v>949</v>
      </c>
      <c r="S327" s="1" t="s">
        <v>950</v>
      </c>
      <c r="T327" s="1" t="s">
        <v>3684</v>
      </c>
      <c r="U327" s="1" t="s">
        <v>31</v>
      </c>
      <c r="V327" s="5"/>
      <c r="W327" s="5"/>
      <c r="X327" s="5"/>
      <c r="Y327" s="5"/>
      <c r="Z327" s="5"/>
    </row>
    <row r="328" ht="14.25" hidden="1" customHeight="1">
      <c r="A328" s="1" t="s">
        <v>4214</v>
      </c>
      <c r="B328" s="1">
        <v>1.1000628E7</v>
      </c>
      <c r="C328" s="1" t="str">
        <f>VLOOKUP(B328,Equipment!A$1:J$470,9,0)</f>
        <v>E</v>
      </c>
      <c r="D328" s="1" t="s">
        <v>1448</v>
      </c>
      <c r="E328" s="1">
        <v>1031.0</v>
      </c>
      <c r="F328" s="1" t="s">
        <v>4218</v>
      </c>
      <c r="G328" s="1" t="s">
        <v>2815</v>
      </c>
      <c r="H328" s="1" t="s">
        <v>768</v>
      </c>
      <c r="I328" s="1" t="s">
        <v>1007</v>
      </c>
      <c r="J328" s="1" t="s">
        <v>1007</v>
      </c>
      <c r="K328" s="1" t="s">
        <v>31</v>
      </c>
      <c r="L328" s="1" t="s">
        <v>4219</v>
      </c>
      <c r="M328" s="1" t="s">
        <v>51</v>
      </c>
      <c r="N328" s="1" t="s">
        <v>737</v>
      </c>
      <c r="O328" s="1" t="s">
        <v>31</v>
      </c>
      <c r="P328" s="1" t="s">
        <v>776</v>
      </c>
      <c r="Q328" s="1" t="s">
        <v>948</v>
      </c>
      <c r="R328" s="1" t="s">
        <v>4220</v>
      </c>
      <c r="S328" s="1" t="s">
        <v>983</v>
      </c>
      <c r="T328" s="1" t="s">
        <v>4221</v>
      </c>
      <c r="U328" s="1" t="s">
        <v>31</v>
      </c>
      <c r="V328" s="5"/>
      <c r="W328" s="5"/>
      <c r="X328" s="5"/>
      <c r="Y328" s="5"/>
      <c r="Z328" s="5"/>
    </row>
    <row r="329" ht="14.25" hidden="1" customHeight="1">
      <c r="A329" s="1" t="s">
        <v>4222</v>
      </c>
      <c r="B329" s="1">
        <v>1.1000289E7</v>
      </c>
      <c r="C329" s="1" t="str">
        <f>VLOOKUP(B329,Equipment!A$1:J$470,9,0)</f>
        <v>E</v>
      </c>
      <c r="D329" s="1" t="s">
        <v>577</v>
      </c>
      <c r="E329" s="1">
        <v>2001.0</v>
      </c>
      <c r="F329" s="1" t="s">
        <v>785</v>
      </c>
      <c r="G329" s="1" t="s">
        <v>491</v>
      </c>
      <c r="H329" s="1" t="s">
        <v>768</v>
      </c>
      <c r="I329" s="1" t="s">
        <v>882</v>
      </c>
      <c r="J329" s="1" t="s">
        <v>882</v>
      </c>
      <c r="K329" s="1" t="s">
        <v>882</v>
      </c>
      <c r="L329" s="1" t="s">
        <v>4226</v>
      </c>
      <c r="M329" s="1" t="s">
        <v>51</v>
      </c>
      <c r="N329" s="1" t="s">
        <v>737</v>
      </c>
      <c r="O329" s="1" t="s">
        <v>31</v>
      </c>
      <c r="P329" s="1" t="s">
        <v>1345</v>
      </c>
      <c r="Q329" s="1" t="s">
        <v>777</v>
      </c>
      <c r="R329" s="1" t="s">
        <v>895</v>
      </c>
      <c r="S329" s="1" t="s">
        <v>779</v>
      </c>
      <c r="T329" s="1" t="s">
        <v>4229</v>
      </c>
      <c r="U329" s="1" t="s">
        <v>31</v>
      </c>
      <c r="V329" s="5"/>
      <c r="W329" s="5"/>
      <c r="X329" s="5"/>
      <c r="Y329" s="5"/>
      <c r="Z329" s="5"/>
    </row>
    <row r="330" ht="14.25" hidden="1" customHeight="1">
      <c r="A330" s="1" t="s">
        <v>4230</v>
      </c>
      <c r="B330" s="1">
        <v>1.1000291E7</v>
      </c>
      <c r="C330" s="1" t="str">
        <f>VLOOKUP(B330,Equipment!A$1:J$470,9,0)</f>
        <v>E</v>
      </c>
      <c r="D330" s="1" t="s">
        <v>585</v>
      </c>
      <c r="E330" s="1">
        <v>2001.0</v>
      </c>
      <c r="F330" s="1" t="s">
        <v>785</v>
      </c>
      <c r="G330" s="1" t="s">
        <v>131</v>
      </c>
      <c r="H330" s="1" t="s">
        <v>768</v>
      </c>
      <c r="I330" s="1" t="s">
        <v>882</v>
      </c>
      <c r="J330" s="1" t="s">
        <v>882</v>
      </c>
      <c r="K330" s="1" t="s">
        <v>882</v>
      </c>
      <c r="L330" s="1" t="s">
        <v>4231</v>
      </c>
      <c r="M330" s="1" t="s">
        <v>51</v>
      </c>
      <c r="N330" s="1" t="s">
        <v>737</v>
      </c>
      <c r="O330" s="1" t="s">
        <v>31</v>
      </c>
      <c r="P330" s="1" t="s">
        <v>1345</v>
      </c>
      <c r="Q330" s="1" t="s">
        <v>777</v>
      </c>
      <c r="R330" s="1" t="s">
        <v>814</v>
      </c>
      <c r="S330" s="1" t="s">
        <v>779</v>
      </c>
      <c r="T330" s="1" t="s">
        <v>4232</v>
      </c>
      <c r="U330" s="1" t="s">
        <v>31</v>
      </c>
      <c r="V330" s="5"/>
      <c r="W330" s="5"/>
      <c r="X330" s="5"/>
      <c r="Y330" s="5"/>
      <c r="Z330" s="5"/>
    </row>
    <row r="331" ht="14.25" hidden="1" customHeight="1">
      <c r="A331" s="1" t="s">
        <v>4233</v>
      </c>
      <c r="B331" s="1">
        <v>1.1000322E7</v>
      </c>
      <c r="C331" s="1" t="str">
        <f>VLOOKUP(B331,Equipment!A$1:J$470,9,0)</f>
        <v>E</v>
      </c>
      <c r="D331" s="1" t="s">
        <v>127</v>
      </c>
      <c r="E331" s="1">
        <v>2001.0</v>
      </c>
      <c r="F331" s="1" t="s">
        <v>846</v>
      </c>
      <c r="G331" s="1" t="s">
        <v>131</v>
      </c>
      <c r="H331" s="1" t="s">
        <v>768</v>
      </c>
      <c r="I331" s="1" t="s">
        <v>882</v>
      </c>
      <c r="J331" s="1" t="s">
        <v>882</v>
      </c>
      <c r="K331" s="1" t="s">
        <v>882</v>
      </c>
      <c r="L331" s="1" t="s">
        <v>1947</v>
      </c>
      <c r="M331" s="1" t="s">
        <v>51</v>
      </c>
      <c r="N331" s="1" t="s">
        <v>737</v>
      </c>
      <c r="O331" s="1" t="s">
        <v>31</v>
      </c>
      <c r="P331" s="1" t="s">
        <v>850</v>
      </c>
      <c r="Q331" s="1" t="s">
        <v>777</v>
      </c>
      <c r="R331" s="1" t="s">
        <v>928</v>
      </c>
      <c r="S331" s="1" t="s">
        <v>779</v>
      </c>
      <c r="T331" s="1" t="s">
        <v>4202</v>
      </c>
      <c r="U331" s="1" t="s">
        <v>31</v>
      </c>
      <c r="V331" s="5"/>
      <c r="W331" s="5"/>
      <c r="X331" s="5"/>
      <c r="Y331" s="5"/>
      <c r="Z331" s="5"/>
    </row>
    <row r="332" ht="14.25" hidden="1" customHeight="1">
      <c r="A332" s="1" t="s">
        <v>4240</v>
      </c>
      <c r="B332" s="1">
        <v>1.1000386E7</v>
      </c>
      <c r="C332" s="1" t="str">
        <f>VLOOKUP(B332,Equipment!A$1:J$470,9,0)</f>
        <v>E</v>
      </c>
      <c r="D332" s="1" t="s">
        <v>415</v>
      </c>
      <c r="E332" s="1">
        <v>1041.0</v>
      </c>
      <c r="F332" s="1" t="s">
        <v>4244</v>
      </c>
      <c r="G332" s="1" t="s">
        <v>68</v>
      </c>
      <c r="H332" s="1" t="s">
        <v>768</v>
      </c>
      <c r="I332" s="1" t="s">
        <v>882</v>
      </c>
      <c r="J332" s="1" t="s">
        <v>882</v>
      </c>
      <c r="K332" s="1" t="s">
        <v>730</v>
      </c>
      <c r="L332" s="1" t="s">
        <v>3683</v>
      </c>
      <c r="M332" s="1" t="s">
        <v>51</v>
      </c>
      <c r="N332" s="1" t="s">
        <v>737</v>
      </c>
      <c r="O332" s="1" t="s">
        <v>31</v>
      </c>
      <c r="P332" s="1" t="s">
        <v>2881</v>
      </c>
      <c r="Q332" s="1" t="s">
        <v>948</v>
      </c>
      <c r="R332" s="1" t="s">
        <v>949</v>
      </c>
      <c r="S332" s="1" t="s">
        <v>950</v>
      </c>
      <c r="T332" s="1" t="s">
        <v>3684</v>
      </c>
      <c r="U332" s="1" t="s">
        <v>31</v>
      </c>
      <c r="V332" s="5"/>
      <c r="W332" s="5"/>
      <c r="X332" s="5"/>
      <c r="Y332" s="5"/>
      <c r="Z332" s="5"/>
    </row>
    <row r="333" ht="14.25" hidden="1" customHeight="1">
      <c r="A333" s="1" t="s">
        <v>31</v>
      </c>
      <c r="B333" s="1">
        <v>1.1000934E7</v>
      </c>
      <c r="C333" s="1" t="str">
        <f>VLOOKUP(B333,Equipment!A$1:J$470,9,0)</f>
        <v>E</v>
      </c>
      <c r="D333" s="1" t="s">
        <v>2103</v>
      </c>
      <c r="E333" s="1">
        <v>1201.0</v>
      </c>
      <c r="F333" s="1" t="s">
        <v>1459</v>
      </c>
      <c r="G333" s="1" t="s">
        <v>1015</v>
      </c>
      <c r="H333" s="1" t="s">
        <v>31</v>
      </c>
      <c r="I333" s="1" t="s">
        <v>882</v>
      </c>
      <c r="J333" s="1" t="s">
        <v>882</v>
      </c>
      <c r="K333" s="1" t="s">
        <v>31</v>
      </c>
      <c r="L333" s="1" t="s">
        <v>1460</v>
      </c>
      <c r="M333" s="1" t="s">
        <v>51</v>
      </c>
      <c r="N333" s="1" t="s">
        <v>737</v>
      </c>
      <c r="O333" s="1" t="s">
        <v>31</v>
      </c>
      <c r="P333" s="1" t="s">
        <v>1188</v>
      </c>
      <c r="Q333" s="1" t="s">
        <v>948</v>
      </c>
      <c r="R333" s="1" t="s">
        <v>1461</v>
      </c>
      <c r="S333" s="1" t="s">
        <v>1462</v>
      </c>
      <c r="T333" s="1" t="s">
        <v>31</v>
      </c>
      <c r="U333" s="1" t="s">
        <v>31</v>
      </c>
      <c r="V333" s="5"/>
      <c r="W333" s="5"/>
      <c r="X333" s="5"/>
      <c r="Y333" s="5"/>
      <c r="Z333" s="5"/>
    </row>
    <row r="334" ht="14.25" hidden="1" customHeight="1">
      <c r="A334" s="1" t="s">
        <v>4252</v>
      </c>
      <c r="B334" s="1">
        <v>1.100031E7</v>
      </c>
      <c r="C334" s="1" t="str">
        <f>VLOOKUP(B334,Equipment!A$1:J$470,9,0)</f>
        <v>E</v>
      </c>
      <c r="D334" s="1" t="s">
        <v>635</v>
      </c>
      <c r="E334" s="1">
        <v>2001.0</v>
      </c>
      <c r="F334" s="1" t="s">
        <v>785</v>
      </c>
      <c r="G334" s="1" t="s">
        <v>491</v>
      </c>
      <c r="H334" s="1" t="s">
        <v>768</v>
      </c>
      <c r="I334" s="1" t="s">
        <v>730</v>
      </c>
      <c r="J334" s="1" t="s">
        <v>730</v>
      </c>
      <c r="K334" s="1" t="s">
        <v>730</v>
      </c>
      <c r="L334" s="1" t="s">
        <v>4253</v>
      </c>
      <c r="M334" s="1" t="s">
        <v>51</v>
      </c>
      <c r="N334" s="1" t="s">
        <v>737</v>
      </c>
      <c r="O334" s="1" t="s">
        <v>31</v>
      </c>
      <c r="P334" s="1" t="s">
        <v>789</v>
      </c>
      <c r="Q334" s="1" t="s">
        <v>777</v>
      </c>
      <c r="R334" s="1" t="s">
        <v>2186</v>
      </c>
      <c r="S334" s="1" t="s">
        <v>779</v>
      </c>
      <c r="T334" s="1" t="s">
        <v>4256</v>
      </c>
      <c r="U334" s="1" t="s">
        <v>31</v>
      </c>
      <c r="V334" s="5"/>
      <c r="W334" s="5"/>
      <c r="X334" s="5"/>
      <c r="Y334" s="5"/>
      <c r="Z334" s="5"/>
    </row>
    <row r="335" ht="14.25" hidden="1" customHeight="1">
      <c r="A335" s="1" t="s">
        <v>4259</v>
      </c>
      <c r="B335" s="1">
        <v>1.100031E7</v>
      </c>
      <c r="C335" s="1" t="str">
        <f>VLOOKUP(B335,Equipment!A$1:J$470,9,0)</f>
        <v>E</v>
      </c>
      <c r="D335" s="1" t="s">
        <v>635</v>
      </c>
      <c r="E335" s="1">
        <v>2001.0</v>
      </c>
      <c r="F335" s="1" t="s">
        <v>846</v>
      </c>
      <c r="G335" s="1" t="s">
        <v>491</v>
      </c>
      <c r="H335" s="1" t="s">
        <v>768</v>
      </c>
      <c r="I335" s="1" t="s">
        <v>730</v>
      </c>
      <c r="J335" s="1" t="s">
        <v>730</v>
      </c>
      <c r="K335" s="1" t="s">
        <v>730</v>
      </c>
      <c r="L335" s="1" t="s">
        <v>4253</v>
      </c>
      <c r="M335" s="1" t="s">
        <v>51</v>
      </c>
      <c r="N335" s="1" t="s">
        <v>737</v>
      </c>
      <c r="O335" s="1" t="s">
        <v>31</v>
      </c>
      <c r="P335" s="1" t="s">
        <v>850</v>
      </c>
      <c r="Q335" s="1" t="s">
        <v>777</v>
      </c>
      <c r="R335" s="1" t="s">
        <v>2186</v>
      </c>
      <c r="S335" s="1" t="s">
        <v>779</v>
      </c>
      <c r="T335" s="1" t="s">
        <v>4256</v>
      </c>
      <c r="U335" s="1" t="s">
        <v>31</v>
      </c>
      <c r="V335" s="5"/>
      <c r="W335" s="5"/>
      <c r="X335" s="5"/>
      <c r="Y335" s="5"/>
      <c r="Z335" s="5"/>
    </row>
    <row r="336" ht="14.25" hidden="1" customHeight="1">
      <c r="A336" s="1" t="s">
        <v>4263</v>
      </c>
      <c r="B336" s="1">
        <v>1.100031E7</v>
      </c>
      <c r="C336" s="1" t="str">
        <f>VLOOKUP(B336,Equipment!A$1:J$470,9,0)</f>
        <v>E</v>
      </c>
      <c r="D336" s="1" t="s">
        <v>635</v>
      </c>
      <c r="E336" s="1">
        <v>2001.0</v>
      </c>
      <c r="F336" s="1" t="s">
        <v>766</v>
      </c>
      <c r="G336" s="1" t="s">
        <v>491</v>
      </c>
      <c r="H336" s="1" t="s">
        <v>768</v>
      </c>
      <c r="I336" s="1" t="s">
        <v>730</v>
      </c>
      <c r="J336" s="1" t="s">
        <v>730</v>
      </c>
      <c r="K336" s="1" t="s">
        <v>730</v>
      </c>
      <c r="L336" s="1" t="s">
        <v>4253</v>
      </c>
      <c r="M336" s="1" t="s">
        <v>51</v>
      </c>
      <c r="N336" s="1" t="s">
        <v>737</v>
      </c>
      <c r="O336" s="1" t="s">
        <v>31</v>
      </c>
      <c r="P336" s="1" t="s">
        <v>776</v>
      </c>
      <c r="Q336" s="1" t="s">
        <v>777</v>
      </c>
      <c r="R336" s="1" t="s">
        <v>2186</v>
      </c>
      <c r="S336" s="1" t="s">
        <v>779</v>
      </c>
      <c r="T336" s="1" t="s">
        <v>4256</v>
      </c>
      <c r="U336" s="1" t="s">
        <v>31</v>
      </c>
      <c r="V336" s="5"/>
      <c r="W336" s="5"/>
      <c r="X336" s="5"/>
      <c r="Y336" s="5"/>
      <c r="Z336" s="5"/>
    </row>
    <row r="337" ht="14.25" hidden="1" customHeight="1">
      <c r="A337" s="1" t="s">
        <v>4269</v>
      </c>
      <c r="B337" s="1">
        <v>1.1000312E7</v>
      </c>
      <c r="C337" s="1" t="str">
        <f>VLOOKUP(B337,Equipment!A$1:J$470,9,0)</f>
        <v>E</v>
      </c>
      <c r="D337" s="1" t="s">
        <v>652</v>
      </c>
      <c r="E337" s="1">
        <v>2001.0</v>
      </c>
      <c r="F337" s="1" t="s">
        <v>785</v>
      </c>
      <c r="G337" s="1" t="s">
        <v>491</v>
      </c>
      <c r="H337" s="1" t="s">
        <v>768</v>
      </c>
      <c r="I337" s="1" t="s">
        <v>730</v>
      </c>
      <c r="J337" s="1" t="s">
        <v>730</v>
      </c>
      <c r="K337" s="1" t="s">
        <v>730</v>
      </c>
      <c r="L337" s="1" t="s">
        <v>4271</v>
      </c>
      <c r="M337" s="1" t="s">
        <v>51</v>
      </c>
      <c r="N337" s="1" t="s">
        <v>737</v>
      </c>
      <c r="O337" s="1" t="s">
        <v>31</v>
      </c>
      <c r="P337" s="1" t="s">
        <v>789</v>
      </c>
      <c r="Q337" s="1" t="s">
        <v>777</v>
      </c>
      <c r="R337" s="1" t="s">
        <v>895</v>
      </c>
      <c r="S337" s="1" t="s">
        <v>779</v>
      </c>
      <c r="T337" s="1" t="s">
        <v>4274</v>
      </c>
      <c r="U337" s="1" t="s">
        <v>31</v>
      </c>
      <c r="V337" s="5"/>
      <c r="W337" s="5"/>
      <c r="X337" s="5"/>
      <c r="Y337" s="5"/>
      <c r="Z337" s="5"/>
    </row>
    <row r="338" ht="14.25" hidden="1" customHeight="1">
      <c r="A338" s="1" t="s">
        <v>4275</v>
      </c>
      <c r="B338" s="1">
        <v>1.1000377E7</v>
      </c>
      <c r="C338" s="1" t="str">
        <f>VLOOKUP(B338,Equipment!A$1:J$470,9,0)</f>
        <v>E</v>
      </c>
      <c r="D338" s="1" t="s">
        <v>825</v>
      </c>
      <c r="E338" s="1">
        <v>1041.0</v>
      </c>
      <c r="F338" s="1" t="s">
        <v>4278</v>
      </c>
      <c r="G338" s="1" t="s">
        <v>68</v>
      </c>
      <c r="H338" s="1" t="s">
        <v>768</v>
      </c>
      <c r="I338" s="1" t="s">
        <v>730</v>
      </c>
      <c r="J338" s="1" t="s">
        <v>730</v>
      </c>
      <c r="K338" s="1" t="s">
        <v>357</v>
      </c>
      <c r="L338" s="1" t="s">
        <v>946</v>
      </c>
      <c r="M338" s="1" t="s">
        <v>51</v>
      </c>
      <c r="N338" s="1" t="s">
        <v>737</v>
      </c>
      <c r="O338" s="1" t="s">
        <v>31</v>
      </c>
      <c r="P338" s="1" t="s">
        <v>776</v>
      </c>
      <c r="Q338" s="1" t="s">
        <v>948</v>
      </c>
      <c r="R338" s="1" t="s">
        <v>949</v>
      </c>
      <c r="S338" s="1" t="s">
        <v>950</v>
      </c>
      <c r="T338" s="1" t="s">
        <v>952</v>
      </c>
      <c r="U338" s="1" t="s">
        <v>31</v>
      </c>
      <c r="V338" s="5"/>
      <c r="W338" s="5"/>
      <c r="X338" s="5"/>
      <c r="Y338" s="5"/>
      <c r="Z338" s="5"/>
    </row>
    <row r="339" ht="14.25" hidden="1" customHeight="1">
      <c r="A339" s="1" t="s">
        <v>4280</v>
      </c>
      <c r="B339" s="1">
        <v>1.1000385E7</v>
      </c>
      <c r="C339" s="1" t="str">
        <f>VLOOKUP(B339,Equipment!A$1:J$470,9,0)</f>
        <v>E</v>
      </c>
      <c r="D339" s="1" t="s">
        <v>877</v>
      </c>
      <c r="E339" s="1">
        <v>1041.0</v>
      </c>
      <c r="F339" s="1" t="s">
        <v>4284</v>
      </c>
      <c r="G339" s="1" t="s">
        <v>68</v>
      </c>
      <c r="H339" s="1" t="s">
        <v>768</v>
      </c>
      <c r="I339" s="1" t="s">
        <v>730</v>
      </c>
      <c r="J339" s="1" t="s">
        <v>730</v>
      </c>
      <c r="K339" s="1" t="s">
        <v>357</v>
      </c>
      <c r="L339" s="1" t="s">
        <v>3683</v>
      </c>
      <c r="M339" s="1" t="s">
        <v>51</v>
      </c>
      <c r="N339" s="1" t="s">
        <v>737</v>
      </c>
      <c r="O339" s="1" t="s">
        <v>31</v>
      </c>
      <c r="P339" s="1" t="s">
        <v>776</v>
      </c>
      <c r="Q339" s="1" t="s">
        <v>948</v>
      </c>
      <c r="R339" s="1" t="s">
        <v>949</v>
      </c>
      <c r="S339" s="1" t="s">
        <v>950</v>
      </c>
      <c r="T339" s="1" t="s">
        <v>3684</v>
      </c>
      <c r="U339" s="1" t="s">
        <v>31</v>
      </c>
      <c r="V339" s="5"/>
      <c r="W339" s="5"/>
      <c r="X339" s="5"/>
      <c r="Y339" s="5"/>
      <c r="Z339" s="5"/>
    </row>
    <row r="340" ht="14.25" customHeight="1">
      <c r="A340" s="1" t="s">
        <v>4287</v>
      </c>
      <c r="B340" s="1">
        <v>1.1000807E7</v>
      </c>
      <c r="C340" s="1" t="str">
        <f>VLOOKUP(B340,Equipment!A$1:J$470,9,0)</f>
        <v>E</v>
      </c>
      <c r="D340" s="1" t="s">
        <v>1787</v>
      </c>
      <c r="E340" s="1">
        <v>2501.0</v>
      </c>
      <c r="F340" s="1" t="s">
        <v>4288</v>
      </c>
      <c r="G340" s="1" t="s">
        <v>1034</v>
      </c>
      <c r="H340" s="1" t="s">
        <v>768</v>
      </c>
      <c r="I340" s="1" t="s">
        <v>730</v>
      </c>
      <c r="J340" s="1" t="s">
        <v>730</v>
      </c>
      <c r="K340" s="1" t="s">
        <v>730</v>
      </c>
      <c r="L340" s="1" t="s">
        <v>2797</v>
      </c>
      <c r="M340" s="1" t="s">
        <v>51</v>
      </c>
      <c r="N340" s="1" t="s">
        <v>737</v>
      </c>
      <c r="O340" s="1" t="s">
        <v>31</v>
      </c>
      <c r="P340" s="1" t="s">
        <v>4289</v>
      </c>
      <c r="Q340" s="1" t="s">
        <v>1039</v>
      </c>
      <c r="R340" s="1" t="s">
        <v>4291</v>
      </c>
      <c r="S340" s="1" t="s">
        <v>1041</v>
      </c>
      <c r="T340" s="1" t="s">
        <v>1336</v>
      </c>
      <c r="U340" s="1" t="s">
        <v>31</v>
      </c>
      <c r="V340" s="5"/>
      <c r="W340" s="5"/>
      <c r="X340" s="5"/>
      <c r="Y340" s="5"/>
      <c r="Z340" s="5"/>
    </row>
    <row r="341" ht="14.25" hidden="1" customHeight="1">
      <c r="A341" s="1" t="s">
        <v>4294</v>
      </c>
      <c r="B341" s="1">
        <v>1.1001401E7</v>
      </c>
      <c r="C341" s="1" t="str">
        <f>VLOOKUP(B341,Equipment!A$1:J$470,9,0)</f>
        <v>E</v>
      </c>
      <c r="D341" s="1" t="s">
        <v>3045</v>
      </c>
      <c r="E341" s="1">
        <v>1501.0</v>
      </c>
      <c r="F341" s="1" t="s">
        <v>4297</v>
      </c>
      <c r="G341" s="1" t="s">
        <v>1015</v>
      </c>
      <c r="H341" s="1" t="s">
        <v>768</v>
      </c>
      <c r="I341" s="1" t="s">
        <v>730</v>
      </c>
      <c r="J341" s="1" t="s">
        <v>730</v>
      </c>
      <c r="K341" s="1" t="s">
        <v>730</v>
      </c>
      <c r="L341" s="1" t="s">
        <v>736</v>
      </c>
      <c r="M341" s="1" t="s">
        <v>51</v>
      </c>
      <c r="N341" s="1" t="s">
        <v>737</v>
      </c>
      <c r="O341" s="1" t="s">
        <v>31</v>
      </c>
      <c r="P341" s="1" t="s">
        <v>1684</v>
      </c>
      <c r="Q341" s="1" t="s">
        <v>741</v>
      </c>
      <c r="R341" s="1" t="s">
        <v>3045</v>
      </c>
      <c r="S341" s="1" t="s">
        <v>745</v>
      </c>
      <c r="T341" s="1" t="s">
        <v>747</v>
      </c>
      <c r="U341" s="1" t="s">
        <v>31</v>
      </c>
      <c r="V341" s="5"/>
      <c r="W341" s="5"/>
      <c r="X341" s="5"/>
      <c r="Y341" s="5"/>
      <c r="Z341" s="5"/>
    </row>
    <row r="342" ht="14.25" hidden="1" customHeight="1">
      <c r="A342" s="1" t="s">
        <v>4298</v>
      </c>
      <c r="B342" s="1">
        <v>2.1000001E7</v>
      </c>
      <c r="C342" s="1" t="str">
        <f>VLOOKUP(B342,Equipment!A$1:J$470,9,0)</f>
        <v>U</v>
      </c>
      <c r="D342" s="1" t="s">
        <v>3146</v>
      </c>
      <c r="E342" s="1">
        <v>1001.0</v>
      </c>
      <c r="F342" s="1" t="s">
        <v>1854</v>
      </c>
      <c r="G342" s="1" t="s">
        <v>1132</v>
      </c>
      <c r="H342" s="1" t="s">
        <v>768</v>
      </c>
      <c r="I342" s="1" t="s">
        <v>730</v>
      </c>
      <c r="J342" s="1" t="s">
        <v>730</v>
      </c>
      <c r="K342" s="1" t="s">
        <v>730</v>
      </c>
      <c r="L342" s="1" t="s">
        <v>1237</v>
      </c>
      <c r="M342" s="1" t="s">
        <v>51</v>
      </c>
      <c r="N342" s="1" t="s">
        <v>737</v>
      </c>
      <c r="O342" s="1" t="s">
        <v>31</v>
      </c>
      <c r="P342" s="1" t="s">
        <v>789</v>
      </c>
      <c r="Q342" s="1" t="s">
        <v>948</v>
      </c>
      <c r="R342" s="1" t="s">
        <v>1082</v>
      </c>
      <c r="S342" s="1" t="s">
        <v>1139</v>
      </c>
      <c r="T342" s="1" t="s">
        <v>1140</v>
      </c>
      <c r="U342" s="1" t="s">
        <v>31</v>
      </c>
      <c r="V342" s="5"/>
      <c r="W342" s="5"/>
      <c r="X342" s="5"/>
      <c r="Y342" s="5"/>
      <c r="Z342" s="5"/>
    </row>
    <row r="343" ht="14.25" hidden="1" customHeight="1">
      <c r="A343" s="1" t="s">
        <v>4306</v>
      </c>
      <c r="B343" s="1">
        <v>2.1000003E7</v>
      </c>
      <c r="C343" s="1" t="str">
        <f>VLOOKUP(B343,Equipment!A$1:J$470,9,0)</f>
        <v>U</v>
      </c>
      <c r="D343" s="1" t="s">
        <v>1470</v>
      </c>
      <c r="E343" s="1">
        <v>1001.0</v>
      </c>
      <c r="F343" s="1" t="s">
        <v>1854</v>
      </c>
      <c r="G343" s="1" t="s">
        <v>1132</v>
      </c>
      <c r="H343" s="1" t="s">
        <v>768</v>
      </c>
      <c r="I343" s="1" t="s">
        <v>730</v>
      </c>
      <c r="J343" s="1" t="s">
        <v>730</v>
      </c>
      <c r="K343" s="1" t="s">
        <v>730</v>
      </c>
      <c r="L343" s="1" t="s">
        <v>1237</v>
      </c>
      <c r="M343" s="1" t="s">
        <v>51</v>
      </c>
      <c r="N343" s="1" t="s">
        <v>737</v>
      </c>
      <c r="O343" s="1" t="s">
        <v>31</v>
      </c>
      <c r="P343" s="1" t="s">
        <v>789</v>
      </c>
      <c r="Q343" s="1" t="s">
        <v>948</v>
      </c>
      <c r="R343" s="1" t="s">
        <v>1082</v>
      </c>
      <c r="S343" s="1" t="s">
        <v>1139</v>
      </c>
      <c r="T343" s="1" t="s">
        <v>1140</v>
      </c>
      <c r="U343" s="1" t="s">
        <v>31</v>
      </c>
      <c r="V343" s="5"/>
      <c r="W343" s="5"/>
      <c r="X343" s="5"/>
      <c r="Y343" s="5"/>
      <c r="Z343" s="5"/>
    </row>
    <row r="344" ht="14.25" hidden="1" customHeight="1">
      <c r="A344" s="1" t="s">
        <v>4307</v>
      </c>
      <c r="B344" s="1">
        <v>1.1000095E7</v>
      </c>
      <c r="C344" s="1" t="str">
        <f>VLOOKUP(B344,Equipment!A$1:J$470,9,0)</f>
        <v>E</v>
      </c>
      <c r="D344" s="1" t="s">
        <v>319</v>
      </c>
      <c r="E344" s="1">
        <v>1501.0</v>
      </c>
      <c r="F344" s="1" t="s">
        <v>3084</v>
      </c>
      <c r="G344" s="1" t="s">
        <v>2286</v>
      </c>
      <c r="H344" s="1" t="s">
        <v>768</v>
      </c>
      <c r="I344" s="1" t="s">
        <v>547</v>
      </c>
      <c r="J344" s="1" t="s">
        <v>547</v>
      </c>
      <c r="K344" s="1" t="s">
        <v>547</v>
      </c>
      <c r="L344" s="1" t="s">
        <v>4312</v>
      </c>
      <c r="M344" s="1" t="s">
        <v>51</v>
      </c>
      <c r="N344" s="1" t="s">
        <v>737</v>
      </c>
      <c r="O344" s="1" t="s">
        <v>31</v>
      </c>
      <c r="P344" s="1" t="s">
        <v>789</v>
      </c>
      <c r="Q344" s="1" t="s">
        <v>741</v>
      </c>
      <c r="R344" s="1" t="s">
        <v>319</v>
      </c>
      <c r="S344" s="1" t="s">
        <v>745</v>
      </c>
      <c r="T344" s="1" t="s">
        <v>4314</v>
      </c>
      <c r="U344" s="1" t="s">
        <v>31</v>
      </c>
      <c r="V344" s="5"/>
      <c r="W344" s="5"/>
      <c r="X344" s="5"/>
      <c r="Y344" s="5"/>
      <c r="Z344" s="5"/>
    </row>
    <row r="345" ht="14.25" hidden="1" customHeight="1">
      <c r="A345" s="1" t="s">
        <v>4315</v>
      </c>
      <c r="B345" s="1">
        <v>1.1000311E7</v>
      </c>
      <c r="C345" s="1" t="str">
        <f>VLOOKUP(B345,Equipment!A$1:J$470,9,0)</f>
        <v>E</v>
      </c>
      <c r="D345" s="1" t="s">
        <v>644</v>
      </c>
      <c r="E345" s="1">
        <v>2001.0</v>
      </c>
      <c r="F345" s="1" t="s">
        <v>785</v>
      </c>
      <c r="G345" s="1" t="s">
        <v>491</v>
      </c>
      <c r="H345" s="1" t="s">
        <v>768</v>
      </c>
      <c r="I345" s="1" t="s">
        <v>547</v>
      </c>
      <c r="J345" s="1" t="s">
        <v>547</v>
      </c>
      <c r="K345" s="1" t="s">
        <v>547</v>
      </c>
      <c r="L345" s="1" t="s">
        <v>4316</v>
      </c>
      <c r="M345" s="1" t="s">
        <v>51</v>
      </c>
      <c r="N345" s="1" t="s">
        <v>737</v>
      </c>
      <c r="O345" s="1" t="s">
        <v>31</v>
      </c>
      <c r="P345" s="1" t="s">
        <v>789</v>
      </c>
      <c r="Q345" s="1" t="s">
        <v>777</v>
      </c>
      <c r="R345" s="1" t="s">
        <v>2186</v>
      </c>
      <c r="S345" s="1" t="s">
        <v>779</v>
      </c>
      <c r="T345" s="1" t="s">
        <v>4318</v>
      </c>
      <c r="U345" s="1" t="s">
        <v>31</v>
      </c>
      <c r="V345" s="5"/>
      <c r="W345" s="5"/>
      <c r="X345" s="5"/>
      <c r="Y345" s="5"/>
      <c r="Z345" s="5"/>
    </row>
    <row r="346" ht="14.25" hidden="1" customHeight="1">
      <c r="A346" s="1" t="s">
        <v>4321</v>
      </c>
      <c r="B346" s="1">
        <v>1.1000311E7</v>
      </c>
      <c r="C346" s="1" t="str">
        <f>VLOOKUP(B346,Equipment!A$1:J$470,9,0)</f>
        <v>E</v>
      </c>
      <c r="D346" s="1" t="s">
        <v>644</v>
      </c>
      <c r="E346" s="1">
        <v>2001.0</v>
      </c>
      <c r="F346" s="1" t="s">
        <v>846</v>
      </c>
      <c r="G346" s="1" t="s">
        <v>491</v>
      </c>
      <c r="H346" s="1" t="s">
        <v>768</v>
      </c>
      <c r="I346" s="1" t="s">
        <v>547</v>
      </c>
      <c r="J346" s="1" t="s">
        <v>547</v>
      </c>
      <c r="K346" s="1" t="s">
        <v>547</v>
      </c>
      <c r="L346" s="1" t="s">
        <v>4316</v>
      </c>
      <c r="M346" s="1" t="s">
        <v>51</v>
      </c>
      <c r="N346" s="1" t="s">
        <v>737</v>
      </c>
      <c r="O346" s="1" t="s">
        <v>31</v>
      </c>
      <c r="P346" s="1" t="s">
        <v>850</v>
      </c>
      <c r="Q346" s="1" t="s">
        <v>777</v>
      </c>
      <c r="R346" s="1" t="s">
        <v>2186</v>
      </c>
      <c r="S346" s="1" t="s">
        <v>779</v>
      </c>
      <c r="T346" s="1" t="s">
        <v>4318</v>
      </c>
      <c r="U346" s="1" t="s">
        <v>31</v>
      </c>
      <c r="V346" s="5"/>
      <c r="W346" s="5"/>
      <c r="X346" s="5"/>
      <c r="Y346" s="5"/>
      <c r="Z346" s="5"/>
    </row>
    <row r="347" ht="14.25" hidden="1" customHeight="1">
      <c r="A347" s="1" t="s">
        <v>4324</v>
      </c>
      <c r="B347" s="1">
        <v>1.1000377E7</v>
      </c>
      <c r="C347" s="1" t="str">
        <f>VLOOKUP(B347,Equipment!A$1:J$470,9,0)</f>
        <v>E</v>
      </c>
      <c r="D347" s="1" t="s">
        <v>825</v>
      </c>
      <c r="E347" s="1">
        <v>1041.0</v>
      </c>
      <c r="F347" s="1" t="s">
        <v>4325</v>
      </c>
      <c r="G347" s="1" t="s">
        <v>68</v>
      </c>
      <c r="H347" s="1" t="s">
        <v>768</v>
      </c>
      <c r="I347" s="1" t="s">
        <v>547</v>
      </c>
      <c r="J347" s="1" t="s">
        <v>547</v>
      </c>
      <c r="K347" s="1" t="s">
        <v>31</v>
      </c>
      <c r="L347" s="1" t="s">
        <v>946</v>
      </c>
      <c r="M347" s="1" t="s">
        <v>51</v>
      </c>
      <c r="N347" s="1" t="s">
        <v>737</v>
      </c>
      <c r="O347" s="1" t="s">
        <v>31</v>
      </c>
      <c r="P347" s="1" t="s">
        <v>4328</v>
      </c>
      <c r="Q347" s="1" t="s">
        <v>948</v>
      </c>
      <c r="R347" s="1" t="s">
        <v>949</v>
      </c>
      <c r="S347" s="1" t="s">
        <v>950</v>
      </c>
      <c r="T347" s="1" t="s">
        <v>952</v>
      </c>
      <c r="U347" s="1" t="s">
        <v>31</v>
      </c>
      <c r="V347" s="5"/>
      <c r="W347" s="5"/>
      <c r="X347" s="5"/>
      <c r="Y347" s="5"/>
      <c r="Z347" s="5"/>
    </row>
    <row r="348" ht="14.25" hidden="1" customHeight="1">
      <c r="A348" s="1" t="s">
        <v>4330</v>
      </c>
      <c r="B348" s="1">
        <v>1.1000378E7</v>
      </c>
      <c r="C348" s="1" t="str">
        <f>VLOOKUP(B348,Equipment!A$1:J$470,9,0)</f>
        <v>E</v>
      </c>
      <c r="D348" s="1" t="s">
        <v>833</v>
      </c>
      <c r="E348" s="1">
        <v>1041.0</v>
      </c>
      <c r="F348" s="1" t="s">
        <v>4332</v>
      </c>
      <c r="G348" s="1" t="s">
        <v>68</v>
      </c>
      <c r="H348" s="1" t="s">
        <v>768</v>
      </c>
      <c r="I348" s="1" t="s">
        <v>547</v>
      </c>
      <c r="J348" s="1" t="s">
        <v>547</v>
      </c>
      <c r="K348" s="1" t="s">
        <v>357</v>
      </c>
      <c r="L348" s="1" t="s">
        <v>946</v>
      </c>
      <c r="M348" s="1" t="s">
        <v>51</v>
      </c>
      <c r="N348" s="1" t="s">
        <v>737</v>
      </c>
      <c r="O348" s="1" t="s">
        <v>31</v>
      </c>
      <c r="P348" s="1" t="s">
        <v>776</v>
      </c>
      <c r="Q348" s="1" t="s">
        <v>948</v>
      </c>
      <c r="R348" s="1" t="s">
        <v>949</v>
      </c>
      <c r="S348" s="1" t="s">
        <v>950</v>
      </c>
      <c r="T348" s="1" t="s">
        <v>952</v>
      </c>
      <c r="U348" s="1" t="s">
        <v>31</v>
      </c>
      <c r="V348" s="5"/>
      <c r="W348" s="5"/>
      <c r="X348" s="5"/>
      <c r="Y348" s="5"/>
      <c r="Z348" s="5"/>
    </row>
    <row r="349" ht="14.25" hidden="1" customHeight="1">
      <c r="A349" s="1" t="s">
        <v>4333</v>
      </c>
      <c r="B349" s="1">
        <v>1.1000379E7</v>
      </c>
      <c r="C349" s="1" t="str">
        <f>VLOOKUP(B349,Equipment!A$1:J$470,9,0)</f>
        <v>E</v>
      </c>
      <c r="D349" s="1" t="s">
        <v>386</v>
      </c>
      <c r="E349" s="1">
        <v>1041.0</v>
      </c>
      <c r="F349" s="1" t="s">
        <v>4338</v>
      </c>
      <c r="G349" s="1" t="s">
        <v>68</v>
      </c>
      <c r="H349" s="1" t="s">
        <v>768</v>
      </c>
      <c r="I349" s="1" t="s">
        <v>547</v>
      </c>
      <c r="J349" s="1" t="s">
        <v>547</v>
      </c>
      <c r="K349" s="1" t="s">
        <v>357</v>
      </c>
      <c r="L349" s="1" t="s">
        <v>946</v>
      </c>
      <c r="M349" s="1" t="s">
        <v>51</v>
      </c>
      <c r="N349" s="1" t="s">
        <v>737</v>
      </c>
      <c r="O349" s="1" t="s">
        <v>31</v>
      </c>
      <c r="P349" s="1" t="s">
        <v>776</v>
      </c>
      <c r="Q349" s="1" t="s">
        <v>948</v>
      </c>
      <c r="R349" s="1" t="s">
        <v>949</v>
      </c>
      <c r="S349" s="1" t="s">
        <v>950</v>
      </c>
      <c r="T349" s="1" t="s">
        <v>952</v>
      </c>
      <c r="U349" s="1" t="s">
        <v>31</v>
      </c>
      <c r="V349" s="5"/>
      <c r="W349" s="5"/>
      <c r="X349" s="5"/>
      <c r="Y349" s="5"/>
      <c r="Z349" s="5"/>
    </row>
    <row r="350" ht="14.25" hidden="1" customHeight="1">
      <c r="A350" s="1" t="s">
        <v>4341</v>
      </c>
      <c r="B350" s="1">
        <v>1.100038E7</v>
      </c>
      <c r="C350" s="1" t="str">
        <f>VLOOKUP(B350,Equipment!A$1:J$470,9,0)</f>
        <v>E</v>
      </c>
      <c r="D350" s="1" t="s">
        <v>545</v>
      </c>
      <c r="E350" s="1">
        <v>1041.0</v>
      </c>
      <c r="F350" s="1" t="s">
        <v>4342</v>
      </c>
      <c r="G350" s="1" t="s">
        <v>68</v>
      </c>
      <c r="H350" s="1" t="s">
        <v>768</v>
      </c>
      <c r="I350" s="1" t="s">
        <v>547</v>
      </c>
      <c r="J350" s="1" t="s">
        <v>547</v>
      </c>
      <c r="K350" s="1" t="s">
        <v>219</v>
      </c>
      <c r="L350" s="1" t="s">
        <v>946</v>
      </c>
      <c r="M350" s="1" t="s">
        <v>51</v>
      </c>
      <c r="N350" s="1" t="s">
        <v>737</v>
      </c>
      <c r="O350" s="1" t="s">
        <v>31</v>
      </c>
      <c r="P350" s="1" t="s">
        <v>776</v>
      </c>
      <c r="Q350" s="1" t="s">
        <v>948</v>
      </c>
      <c r="R350" s="1" t="s">
        <v>949</v>
      </c>
      <c r="S350" s="1" t="s">
        <v>950</v>
      </c>
      <c r="T350" s="1" t="s">
        <v>952</v>
      </c>
      <c r="U350" s="1" t="s">
        <v>31</v>
      </c>
      <c r="V350" s="5"/>
      <c r="W350" s="5"/>
      <c r="X350" s="5"/>
      <c r="Y350" s="5"/>
      <c r="Z350" s="5"/>
    </row>
    <row r="351" ht="14.25" hidden="1" customHeight="1">
      <c r="A351" s="1" t="s">
        <v>4348</v>
      </c>
      <c r="B351" s="1">
        <v>1.1000389E7</v>
      </c>
      <c r="C351" s="1" t="str">
        <f>VLOOKUP(B351,Equipment!A$1:J$470,9,0)</f>
        <v>E</v>
      </c>
      <c r="D351" s="1" t="s">
        <v>60</v>
      </c>
      <c r="E351" s="1">
        <v>1041.0</v>
      </c>
      <c r="F351" s="1" t="s">
        <v>4351</v>
      </c>
      <c r="G351" s="1" t="s">
        <v>68</v>
      </c>
      <c r="H351" s="1" t="s">
        <v>768</v>
      </c>
      <c r="I351" s="1" t="s">
        <v>547</v>
      </c>
      <c r="J351" s="1" t="s">
        <v>547</v>
      </c>
      <c r="K351" s="1" t="s">
        <v>219</v>
      </c>
      <c r="L351" s="1" t="s">
        <v>3379</v>
      </c>
      <c r="M351" s="1" t="s">
        <v>51</v>
      </c>
      <c r="N351" s="1" t="s">
        <v>737</v>
      </c>
      <c r="O351" s="1" t="s">
        <v>31</v>
      </c>
      <c r="P351" s="1" t="s">
        <v>776</v>
      </c>
      <c r="Q351" s="1" t="s">
        <v>948</v>
      </c>
      <c r="R351" s="1" t="s">
        <v>949</v>
      </c>
      <c r="S351" s="1" t="s">
        <v>950</v>
      </c>
      <c r="T351" s="1" t="s">
        <v>3382</v>
      </c>
      <c r="U351" s="1" t="s">
        <v>31</v>
      </c>
      <c r="V351" s="5"/>
      <c r="W351" s="5"/>
      <c r="X351" s="5"/>
      <c r="Y351" s="5"/>
      <c r="Z351" s="5"/>
    </row>
    <row r="352" ht="14.25" hidden="1" customHeight="1">
      <c r="A352" s="1" t="s">
        <v>4352</v>
      </c>
      <c r="B352" s="1">
        <v>1.100039E7</v>
      </c>
      <c r="C352" s="1" t="str">
        <f>VLOOKUP(B352,Equipment!A$1:J$470,9,0)</f>
        <v>E</v>
      </c>
      <c r="D352" s="1" t="s">
        <v>608</v>
      </c>
      <c r="E352" s="1">
        <v>1041.0</v>
      </c>
      <c r="F352" s="1" t="s">
        <v>4359</v>
      </c>
      <c r="G352" s="1" t="s">
        <v>68</v>
      </c>
      <c r="H352" s="1" t="s">
        <v>768</v>
      </c>
      <c r="I352" s="1" t="s">
        <v>547</v>
      </c>
      <c r="J352" s="1" t="s">
        <v>547</v>
      </c>
      <c r="K352" s="1" t="s">
        <v>357</v>
      </c>
      <c r="L352" s="1" t="s">
        <v>3379</v>
      </c>
      <c r="M352" s="1" t="s">
        <v>51</v>
      </c>
      <c r="N352" s="1" t="s">
        <v>737</v>
      </c>
      <c r="O352" s="1" t="s">
        <v>31</v>
      </c>
      <c r="P352" s="1" t="s">
        <v>776</v>
      </c>
      <c r="Q352" s="1" t="s">
        <v>948</v>
      </c>
      <c r="R352" s="1" t="s">
        <v>949</v>
      </c>
      <c r="S352" s="1" t="s">
        <v>950</v>
      </c>
      <c r="T352" s="1" t="s">
        <v>3382</v>
      </c>
      <c r="U352" s="1" t="s">
        <v>31</v>
      </c>
      <c r="V352" s="5"/>
      <c r="W352" s="5"/>
      <c r="X352" s="5"/>
      <c r="Y352" s="5"/>
      <c r="Z352" s="5"/>
    </row>
    <row r="353" ht="14.25" hidden="1" customHeight="1">
      <c r="A353" s="1" t="s">
        <v>4363</v>
      </c>
      <c r="B353" s="1">
        <v>1.1000453E7</v>
      </c>
      <c r="C353" s="1" t="str">
        <f>VLOOKUP(B353,Equipment!A$1:J$470,9,0)</f>
        <v>E</v>
      </c>
      <c r="D353" s="1" t="s">
        <v>283</v>
      </c>
      <c r="E353" s="1">
        <v>1041.0</v>
      </c>
      <c r="F353" s="1" t="s">
        <v>4368</v>
      </c>
      <c r="G353" s="1" t="s">
        <v>68</v>
      </c>
      <c r="H353" s="1" t="s">
        <v>768</v>
      </c>
      <c r="I353" s="1" t="s">
        <v>547</v>
      </c>
      <c r="J353" s="1" t="s">
        <v>547</v>
      </c>
      <c r="K353" s="1" t="s">
        <v>357</v>
      </c>
      <c r="L353" s="1" t="s">
        <v>2198</v>
      </c>
      <c r="M353" s="1" t="s">
        <v>51</v>
      </c>
      <c r="N353" s="1" t="s">
        <v>737</v>
      </c>
      <c r="O353" s="1" t="s">
        <v>31</v>
      </c>
      <c r="P353" s="1" t="s">
        <v>776</v>
      </c>
      <c r="Q353" s="1" t="s">
        <v>948</v>
      </c>
      <c r="R353" s="1" t="s">
        <v>965</v>
      </c>
      <c r="S353" s="1" t="s">
        <v>950</v>
      </c>
      <c r="T353" s="1" t="s">
        <v>2199</v>
      </c>
      <c r="U353" s="1" t="s">
        <v>31</v>
      </c>
      <c r="V353" s="5"/>
      <c r="W353" s="5"/>
      <c r="X353" s="5"/>
      <c r="Y353" s="5"/>
      <c r="Z353" s="5"/>
    </row>
    <row r="354" ht="14.25" hidden="1" customHeight="1">
      <c r="A354" s="1" t="s">
        <v>4369</v>
      </c>
      <c r="B354" s="1">
        <v>1.1000494E7</v>
      </c>
      <c r="C354" s="1" t="str">
        <f>VLOOKUP(B354,Equipment!A$1:J$470,9,0)</f>
        <v>E</v>
      </c>
      <c r="D354" s="1" t="s">
        <v>454</v>
      </c>
      <c r="E354" s="1">
        <v>1041.0</v>
      </c>
      <c r="F354" s="1" t="s">
        <v>4374</v>
      </c>
      <c r="G354" s="1" t="s">
        <v>68</v>
      </c>
      <c r="H354" s="1" t="s">
        <v>768</v>
      </c>
      <c r="I354" s="1" t="s">
        <v>547</v>
      </c>
      <c r="J354" s="1" t="s">
        <v>547</v>
      </c>
      <c r="K354" s="1" t="s">
        <v>357</v>
      </c>
      <c r="L354" s="1" t="s">
        <v>964</v>
      </c>
      <c r="M354" s="1" t="s">
        <v>51</v>
      </c>
      <c r="N354" s="1" t="s">
        <v>737</v>
      </c>
      <c r="O354" s="1" t="s">
        <v>31</v>
      </c>
      <c r="P354" s="1" t="s">
        <v>812</v>
      </c>
      <c r="Q354" s="1" t="s">
        <v>948</v>
      </c>
      <c r="R354" s="1" t="s">
        <v>965</v>
      </c>
      <c r="S354" s="1" t="s">
        <v>950</v>
      </c>
      <c r="T354" s="1" t="s">
        <v>967</v>
      </c>
      <c r="U354" s="1" t="s">
        <v>31</v>
      </c>
      <c r="V354" s="5"/>
      <c r="W354" s="5"/>
      <c r="X354" s="5"/>
      <c r="Y354" s="5"/>
      <c r="Z354" s="5"/>
    </row>
    <row r="355" ht="14.25" hidden="1" customHeight="1">
      <c r="A355" s="1" t="s">
        <v>4377</v>
      </c>
      <c r="B355" s="1">
        <v>1.1001361E7</v>
      </c>
      <c r="C355" s="1" t="str">
        <f>VLOOKUP(B355,Equipment!A$1:J$470,9,0)</f>
        <v>E</v>
      </c>
      <c r="D355" s="1" t="s">
        <v>2884</v>
      </c>
      <c r="E355" s="1">
        <v>1002.0</v>
      </c>
      <c r="F355" s="1" t="s">
        <v>2120</v>
      </c>
      <c r="G355" s="1" t="s">
        <v>131</v>
      </c>
      <c r="H355" s="1" t="s">
        <v>768</v>
      </c>
      <c r="I355" s="1" t="s">
        <v>547</v>
      </c>
      <c r="J355" s="1" t="s">
        <v>547</v>
      </c>
      <c r="K355" s="1" t="s">
        <v>547</v>
      </c>
      <c r="L355" s="1" t="s">
        <v>1016</v>
      </c>
      <c r="M355" s="1" t="s">
        <v>51</v>
      </c>
      <c r="N355" s="1" t="s">
        <v>737</v>
      </c>
      <c r="O355" s="1" t="s">
        <v>31</v>
      </c>
      <c r="P355" s="1" t="s">
        <v>850</v>
      </c>
      <c r="Q355" s="1" t="s">
        <v>948</v>
      </c>
      <c r="R355" s="1" t="s">
        <v>1017</v>
      </c>
      <c r="S355" s="1" t="s">
        <v>1000</v>
      </c>
      <c r="T355" s="1" t="s">
        <v>4382</v>
      </c>
      <c r="U355" s="1" t="s">
        <v>31</v>
      </c>
      <c r="V355" s="5"/>
      <c r="W355" s="5"/>
      <c r="X355" s="5"/>
      <c r="Y355" s="5"/>
      <c r="Z355" s="5"/>
    </row>
    <row r="356" ht="14.25" hidden="1" customHeight="1">
      <c r="A356" s="1" t="s">
        <v>4384</v>
      </c>
      <c r="B356" s="1">
        <v>2.1001081E7</v>
      </c>
      <c r="C356" s="1" t="str">
        <f>VLOOKUP(B356,Equipment!A$1:J$470,9,0)</f>
        <v>#N/A</v>
      </c>
      <c r="D356" s="1" t="s">
        <v>3749</v>
      </c>
      <c r="E356" s="1">
        <v>1001.0</v>
      </c>
      <c r="F356" s="1" t="s">
        <v>4386</v>
      </c>
      <c r="G356" s="1" t="s">
        <v>2940</v>
      </c>
      <c r="H356" s="1" t="s">
        <v>768</v>
      </c>
      <c r="I356" s="1" t="s">
        <v>547</v>
      </c>
      <c r="J356" s="1" t="s">
        <v>547</v>
      </c>
      <c r="K356" s="1" t="s">
        <v>547</v>
      </c>
      <c r="L356" s="1" t="s">
        <v>1134</v>
      </c>
      <c r="M356" s="1" t="s">
        <v>51</v>
      </c>
      <c r="N356" s="1" t="s">
        <v>737</v>
      </c>
      <c r="O356" s="1" t="s">
        <v>31</v>
      </c>
      <c r="P356" s="1" t="s">
        <v>1086</v>
      </c>
      <c r="Q356" s="1" t="s">
        <v>948</v>
      </c>
      <c r="R356" s="1" t="s">
        <v>4387</v>
      </c>
      <c r="S356" s="1" t="s">
        <v>1139</v>
      </c>
      <c r="T356" s="1" t="s">
        <v>1140</v>
      </c>
      <c r="U356" s="1" t="s">
        <v>31</v>
      </c>
      <c r="V356" s="5"/>
      <c r="W356" s="5"/>
      <c r="X356" s="5"/>
      <c r="Y356" s="5"/>
      <c r="Z356" s="5"/>
    </row>
    <row r="357" ht="14.25" hidden="1" customHeight="1">
      <c r="A357" s="1" t="s">
        <v>4391</v>
      </c>
      <c r="B357" s="1">
        <v>1.1E7</v>
      </c>
      <c r="C357" s="1" t="str">
        <f>VLOOKUP(B357,Equipment!A$1:J$470,9,0)</f>
        <v>E</v>
      </c>
      <c r="D357" s="1" t="s">
        <v>50</v>
      </c>
      <c r="E357" s="1">
        <v>1001.0</v>
      </c>
      <c r="F357" s="1" t="s">
        <v>785</v>
      </c>
      <c r="G357" s="1" t="s">
        <v>1132</v>
      </c>
      <c r="H357" s="1" t="s">
        <v>768</v>
      </c>
      <c r="I357" s="1" t="s">
        <v>357</v>
      </c>
      <c r="J357" s="1" t="s">
        <v>357</v>
      </c>
      <c r="K357" s="1" t="s">
        <v>357</v>
      </c>
      <c r="L357" s="1" t="s">
        <v>1134</v>
      </c>
      <c r="M357" s="1" t="s">
        <v>51</v>
      </c>
      <c r="N357" s="1" t="s">
        <v>737</v>
      </c>
      <c r="O357" s="1" t="s">
        <v>31</v>
      </c>
      <c r="P357" s="1" t="s">
        <v>789</v>
      </c>
      <c r="Q357" s="1" t="s">
        <v>948</v>
      </c>
      <c r="R357" s="1" t="s">
        <v>1241</v>
      </c>
      <c r="S357" s="1" t="s">
        <v>1139</v>
      </c>
      <c r="T357" s="1" t="s">
        <v>1140</v>
      </c>
      <c r="U357" s="1" t="s">
        <v>31</v>
      </c>
      <c r="V357" s="5"/>
      <c r="W357" s="5"/>
      <c r="X357" s="5"/>
      <c r="Y357" s="5"/>
      <c r="Z357" s="5"/>
    </row>
    <row r="358" ht="14.25" hidden="1" customHeight="1">
      <c r="A358" s="1" t="s">
        <v>4397</v>
      </c>
      <c r="B358" s="1">
        <v>1.1000006E7</v>
      </c>
      <c r="C358" s="1" t="str">
        <f>VLOOKUP(B358,Equipment!A$1:J$470,9,0)</f>
        <v>E</v>
      </c>
      <c r="D358" s="1" t="s">
        <v>85</v>
      </c>
      <c r="E358" s="1">
        <v>1001.0</v>
      </c>
      <c r="F358" s="1" t="s">
        <v>1854</v>
      </c>
      <c r="G358" s="1" t="s">
        <v>1132</v>
      </c>
      <c r="H358" s="1" t="s">
        <v>768</v>
      </c>
      <c r="I358" s="1" t="s">
        <v>357</v>
      </c>
      <c r="J358" s="1" t="s">
        <v>357</v>
      </c>
      <c r="K358" s="1" t="s">
        <v>357</v>
      </c>
      <c r="L358" s="1" t="s">
        <v>1134</v>
      </c>
      <c r="M358" s="1" t="s">
        <v>51</v>
      </c>
      <c r="N358" s="1" t="s">
        <v>737</v>
      </c>
      <c r="O358" s="1" t="s">
        <v>31</v>
      </c>
      <c r="P358" s="1" t="s">
        <v>789</v>
      </c>
      <c r="Q358" s="1" t="s">
        <v>948</v>
      </c>
      <c r="R358" s="1" t="s">
        <v>4403</v>
      </c>
      <c r="S358" s="1" t="s">
        <v>1139</v>
      </c>
      <c r="T358" s="1" t="s">
        <v>1140</v>
      </c>
      <c r="U358" s="1" t="s">
        <v>31</v>
      </c>
      <c r="V358" s="5"/>
      <c r="W358" s="5"/>
      <c r="X358" s="5"/>
      <c r="Y358" s="5"/>
      <c r="Z358" s="5"/>
    </row>
    <row r="359" ht="14.25" hidden="1" customHeight="1">
      <c r="A359" s="1" t="s">
        <v>4406</v>
      </c>
      <c r="B359" s="1">
        <v>1.1000019E7</v>
      </c>
      <c r="C359" s="1" t="str">
        <f>VLOOKUP(B359,Equipment!A$1:J$470,9,0)</f>
        <v>E</v>
      </c>
      <c r="D359" s="1" t="s">
        <v>133</v>
      </c>
      <c r="E359" s="1">
        <v>1001.0</v>
      </c>
      <c r="F359" s="1" t="s">
        <v>785</v>
      </c>
      <c r="G359" s="1" t="s">
        <v>2940</v>
      </c>
      <c r="H359" s="1" t="s">
        <v>768</v>
      </c>
      <c r="I359" s="1" t="s">
        <v>357</v>
      </c>
      <c r="J359" s="1" t="s">
        <v>357</v>
      </c>
      <c r="K359" s="1" t="s">
        <v>357</v>
      </c>
      <c r="L359" s="1" t="s">
        <v>2944</v>
      </c>
      <c r="M359" s="1" t="s">
        <v>51</v>
      </c>
      <c r="N359" s="1" t="s">
        <v>737</v>
      </c>
      <c r="O359" s="1" t="s">
        <v>31</v>
      </c>
      <c r="P359" s="1" t="s">
        <v>789</v>
      </c>
      <c r="Q359" s="1" t="s">
        <v>948</v>
      </c>
      <c r="R359" s="1" t="s">
        <v>1241</v>
      </c>
      <c r="S359" s="1" t="s">
        <v>1139</v>
      </c>
      <c r="T359" s="1" t="s">
        <v>1140</v>
      </c>
      <c r="U359" s="1" t="s">
        <v>31</v>
      </c>
      <c r="V359" s="5"/>
      <c r="W359" s="5"/>
      <c r="X359" s="5"/>
      <c r="Y359" s="5"/>
      <c r="Z359" s="5"/>
    </row>
    <row r="360" ht="14.25" hidden="1" customHeight="1">
      <c r="A360" s="1" t="s">
        <v>4414</v>
      </c>
      <c r="B360" s="1">
        <v>1.100002E7</v>
      </c>
      <c r="C360" s="1" t="str">
        <f>VLOOKUP(B360,Equipment!A$1:J$470,9,0)</f>
        <v>E</v>
      </c>
      <c r="D360" s="1" t="s">
        <v>142</v>
      </c>
      <c r="E360" s="1">
        <v>1001.0</v>
      </c>
      <c r="F360" s="1" t="s">
        <v>785</v>
      </c>
      <c r="G360" s="1" t="s">
        <v>1233</v>
      </c>
      <c r="H360" s="1" t="s">
        <v>768</v>
      </c>
      <c r="I360" s="1" t="s">
        <v>357</v>
      </c>
      <c r="J360" s="1" t="s">
        <v>357</v>
      </c>
      <c r="K360" s="1" t="s">
        <v>357</v>
      </c>
      <c r="L360" s="1" t="s">
        <v>1237</v>
      </c>
      <c r="M360" s="1" t="s">
        <v>51</v>
      </c>
      <c r="N360" s="1" t="s">
        <v>737</v>
      </c>
      <c r="O360" s="1" t="s">
        <v>4417</v>
      </c>
      <c r="P360" s="1" t="s">
        <v>789</v>
      </c>
      <c r="Q360" s="1" t="s">
        <v>948</v>
      </c>
      <c r="R360" s="1" t="s">
        <v>1138</v>
      </c>
      <c r="S360" s="1" t="s">
        <v>1139</v>
      </c>
      <c r="T360" s="1" t="s">
        <v>1140</v>
      </c>
      <c r="U360" s="1" t="s">
        <v>31</v>
      </c>
      <c r="V360" s="5"/>
      <c r="W360" s="5"/>
      <c r="X360" s="5"/>
      <c r="Y360" s="5"/>
      <c r="Z360" s="5"/>
    </row>
    <row r="361" ht="14.25" hidden="1" customHeight="1">
      <c r="A361" s="1" t="s">
        <v>4418</v>
      </c>
      <c r="B361" s="1">
        <v>1.1000022E7</v>
      </c>
      <c r="C361" s="1" t="str">
        <f>VLOOKUP(B361,Equipment!A$1:J$470,9,0)</f>
        <v>E</v>
      </c>
      <c r="D361" s="1" t="s">
        <v>165</v>
      </c>
      <c r="E361" s="1">
        <v>1001.0</v>
      </c>
      <c r="F361" s="1" t="s">
        <v>785</v>
      </c>
      <c r="G361" s="1" t="s">
        <v>1233</v>
      </c>
      <c r="H361" s="1" t="s">
        <v>768</v>
      </c>
      <c r="I361" s="1" t="s">
        <v>357</v>
      </c>
      <c r="J361" s="1" t="s">
        <v>357</v>
      </c>
      <c r="K361" s="1" t="s">
        <v>357</v>
      </c>
      <c r="L361" s="1" t="s">
        <v>1237</v>
      </c>
      <c r="M361" s="1" t="s">
        <v>51</v>
      </c>
      <c r="N361" s="1" t="s">
        <v>737</v>
      </c>
      <c r="O361" s="1" t="s">
        <v>31</v>
      </c>
      <c r="P361" s="1" t="s">
        <v>789</v>
      </c>
      <c r="Q361" s="1" t="s">
        <v>948</v>
      </c>
      <c r="R361" s="1" t="s">
        <v>4403</v>
      </c>
      <c r="S361" s="1" t="s">
        <v>1139</v>
      </c>
      <c r="T361" s="1" t="s">
        <v>1140</v>
      </c>
      <c r="U361" s="1" t="s">
        <v>31</v>
      </c>
      <c r="V361" s="5"/>
      <c r="W361" s="5"/>
      <c r="X361" s="5"/>
      <c r="Y361" s="5"/>
      <c r="Z361" s="5"/>
    </row>
    <row r="362" ht="14.25" hidden="1" customHeight="1">
      <c r="A362" s="1" t="s">
        <v>4424</v>
      </c>
      <c r="B362" s="1">
        <v>1.1000024E7</v>
      </c>
      <c r="C362" s="1" t="str">
        <f>VLOOKUP(B362,Equipment!A$1:J$470,9,0)</f>
        <v>E</v>
      </c>
      <c r="D362" s="1" t="s">
        <v>172</v>
      </c>
      <c r="E362" s="1">
        <v>1001.0</v>
      </c>
      <c r="F362" s="1" t="s">
        <v>785</v>
      </c>
      <c r="G362" s="1" t="s">
        <v>1233</v>
      </c>
      <c r="H362" s="1" t="s">
        <v>768</v>
      </c>
      <c r="I362" s="1" t="s">
        <v>357</v>
      </c>
      <c r="J362" s="1" t="s">
        <v>357</v>
      </c>
      <c r="K362" s="1" t="s">
        <v>357</v>
      </c>
      <c r="L362" s="1" t="s">
        <v>1237</v>
      </c>
      <c r="M362" s="1" t="s">
        <v>51</v>
      </c>
      <c r="N362" s="1" t="s">
        <v>737</v>
      </c>
      <c r="O362" s="1" t="s">
        <v>31</v>
      </c>
      <c r="P362" s="1" t="s">
        <v>789</v>
      </c>
      <c r="Q362" s="1" t="s">
        <v>948</v>
      </c>
      <c r="R362" s="1" t="s">
        <v>4184</v>
      </c>
      <c r="S362" s="1" t="s">
        <v>1139</v>
      </c>
      <c r="T362" s="1" t="s">
        <v>1140</v>
      </c>
      <c r="U362" s="1" t="s">
        <v>31</v>
      </c>
      <c r="V362" s="5"/>
      <c r="W362" s="5"/>
      <c r="X362" s="5"/>
      <c r="Y362" s="5"/>
      <c r="Z362" s="5"/>
    </row>
    <row r="363" ht="14.25" customHeight="1">
      <c r="A363" s="1" t="s">
        <v>4430</v>
      </c>
      <c r="B363" s="1">
        <v>1.1000053E7</v>
      </c>
      <c r="C363" s="1" t="str">
        <f>VLOOKUP(B363,Equipment!A$1:J$470,9,0)</f>
        <v>E</v>
      </c>
      <c r="D363" s="1" t="s">
        <v>232</v>
      </c>
      <c r="E363" s="1">
        <v>2501.0</v>
      </c>
      <c r="F363" s="1" t="s">
        <v>4432</v>
      </c>
      <c r="G363" s="1" t="s">
        <v>1034</v>
      </c>
      <c r="H363" s="1" t="s">
        <v>768</v>
      </c>
      <c r="I363" s="1" t="s">
        <v>357</v>
      </c>
      <c r="J363" s="1" t="s">
        <v>357</v>
      </c>
      <c r="K363" s="1" t="s">
        <v>31</v>
      </c>
      <c r="L363" s="1" t="s">
        <v>1037</v>
      </c>
      <c r="M363" s="1" t="s">
        <v>51</v>
      </c>
      <c r="N363" s="1" t="s">
        <v>737</v>
      </c>
      <c r="O363" s="1" t="s">
        <v>31</v>
      </c>
      <c r="P363" s="1" t="s">
        <v>1215</v>
      </c>
      <c r="Q363" s="1" t="s">
        <v>1039</v>
      </c>
      <c r="R363" s="1" t="s">
        <v>1040</v>
      </c>
      <c r="S363" s="1" t="s">
        <v>1041</v>
      </c>
      <c r="T363" s="1" t="s">
        <v>1550</v>
      </c>
      <c r="U363" s="1" t="s">
        <v>31</v>
      </c>
      <c r="V363" s="5"/>
      <c r="W363" s="5"/>
      <c r="X363" s="5"/>
      <c r="Y363" s="5"/>
      <c r="Z363" s="5"/>
    </row>
    <row r="364" ht="14.25" customHeight="1">
      <c r="A364" s="1" t="s">
        <v>4433</v>
      </c>
      <c r="B364" s="1">
        <v>1.1000054E7</v>
      </c>
      <c r="C364" s="1" t="str">
        <f>VLOOKUP(B364,Equipment!A$1:J$470,9,0)</f>
        <v>E</v>
      </c>
      <c r="D364" s="1" t="s">
        <v>244</v>
      </c>
      <c r="E364" s="1">
        <v>2501.0</v>
      </c>
      <c r="F364" s="1" t="s">
        <v>4437</v>
      </c>
      <c r="G364" s="1" t="s">
        <v>1034</v>
      </c>
      <c r="H364" s="1" t="s">
        <v>768</v>
      </c>
      <c r="I364" s="1" t="s">
        <v>357</v>
      </c>
      <c r="J364" s="1" t="s">
        <v>357</v>
      </c>
      <c r="K364" s="1" t="s">
        <v>31</v>
      </c>
      <c r="L364" s="1" t="s">
        <v>1037</v>
      </c>
      <c r="M364" s="1" t="s">
        <v>51</v>
      </c>
      <c r="N364" s="1" t="s">
        <v>737</v>
      </c>
      <c r="O364" s="1" t="s">
        <v>31</v>
      </c>
      <c r="P364" s="1" t="s">
        <v>3747</v>
      </c>
      <c r="Q364" s="1" t="s">
        <v>1039</v>
      </c>
      <c r="R364" s="1" t="s">
        <v>1054</v>
      </c>
      <c r="S364" s="1" t="s">
        <v>1041</v>
      </c>
      <c r="T364" s="1" t="s">
        <v>3080</v>
      </c>
      <c r="U364" s="1" t="s">
        <v>31</v>
      </c>
      <c r="V364" s="5"/>
      <c r="W364" s="5"/>
      <c r="X364" s="5"/>
      <c r="Y364" s="5"/>
      <c r="Z364" s="5"/>
    </row>
    <row r="365" ht="14.25" customHeight="1">
      <c r="A365" s="1" t="s">
        <v>31</v>
      </c>
      <c r="B365" s="1">
        <v>1.1000054E7</v>
      </c>
      <c r="C365" s="1" t="str">
        <f>VLOOKUP(B365,Equipment!A$1:J$470,9,0)</f>
        <v>E</v>
      </c>
      <c r="D365" s="1" t="s">
        <v>244</v>
      </c>
      <c r="E365" s="1">
        <v>2501.0</v>
      </c>
      <c r="F365" s="1" t="s">
        <v>4437</v>
      </c>
      <c r="G365" s="1" t="s">
        <v>1034</v>
      </c>
      <c r="H365" s="1" t="s">
        <v>768</v>
      </c>
      <c r="I365" s="1" t="s">
        <v>357</v>
      </c>
      <c r="J365" s="1" t="s">
        <v>357</v>
      </c>
      <c r="K365" s="1" t="s">
        <v>31</v>
      </c>
      <c r="L365" s="1" t="s">
        <v>1037</v>
      </c>
      <c r="M365" s="1" t="s">
        <v>51</v>
      </c>
      <c r="N365" s="1" t="s">
        <v>737</v>
      </c>
      <c r="O365" s="1" t="s">
        <v>31</v>
      </c>
      <c r="P365" s="1" t="s">
        <v>2456</v>
      </c>
      <c r="Q365" s="1" t="s">
        <v>1039</v>
      </c>
      <c r="R365" s="1" t="s">
        <v>1054</v>
      </c>
      <c r="S365" s="1" t="s">
        <v>1041</v>
      </c>
      <c r="T365" s="1" t="s">
        <v>3080</v>
      </c>
      <c r="U365" s="1" t="s">
        <v>31</v>
      </c>
      <c r="V365" s="5"/>
      <c r="W365" s="5"/>
      <c r="X365" s="5"/>
      <c r="Y365" s="5"/>
      <c r="Z365" s="5"/>
    </row>
    <row r="366" ht="14.25" customHeight="1">
      <c r="A366" s="1" t="s">
        <v>31</v>
      </c>
      <c r="B366" s="1">
        <v>1.1000055E7</v>
      </c>
      <c r="C366" s="1" t="str">
        <f>VLOOKUP(B366,Equipment!A$1:J$470,9,0)</f>
        <v>E</v>
      </c>
      <c r="D366" s="1" t="s">
        <v>247</v>
      </c>
      <c r="E366" s="1">
        <v>2501.0</v>
      </c>
      <c r="F366" s="1" t="s">
        <v>4445</v>
      </c>
      <c r="G366" s="1" t="s">
        <v>1034</v>
      </c>
      <c r="H366" s="1" t="s">
        <v>768</v>
      </c>
      <c r="I366" s="1" t="s">
        <v>357</v>
      </c>
      <c r="J366" s="1" t="s">
        <v>357</v>
      </c>
      <c r="K366" s="1" t="s">
        <v>31</v>
      </c>
      <c r="L366" s="1" t="s">
        <v>1037</v>
      </c>
      <c r="M366" s="1" t="s">
        <v>51</v>
      </c>
      <c r="N366" s="1" t="s">
        <v>737</v>
      </c>
      <c r="O366" s="1" t="s">
        <v>31</v>
      </c>
      <c r="P366" s="1" t="s">
        <v>1655</v>
      </c>
      <c r="Q366" s="1" t="s">
        <v>1039</v>
      </c>
      <c r="R366" s="1" t="s">
        <v>1054</v>
      </c>
      <c r="S366" s="1" t="s">
        <v>1041</v>
      </c>
      <c r="T366" s="1" t="s">
        <v>3988</v>
      </c>
      <c r="U366" s="1" t="s">
        <v>31</v>
      </c>
      <c r="V366" s="5"/>
      <c r="W366" s="5"/>
      <c r="X366" s="5"/>
      <c r="Y366" s="5"/>
      <c r="Z366" s="5"/>
    </row>
    <row r="367" ht="14.25" customHeight="1">
      <c r="A367" s="1" t="s">
        <v>4447</v>
      </c>
      <c r="B367" s="1">
        <v>1.1000055E7</v>
      </c>
      <c r="C367" s="1" t="str">
        <f>VLOOKUP(B367,Equipment!A$1:J$470,9,0)</f>
        <v>E</v>
      </c>
      <c r="D367" s="1" t="s">
        <v>247</v>
      </c>
      <c r="E367" s="1">
        <v>2501.0</v>
      </c>
      <c r="F367" s="1" t="s">
        <v>4445</v>
      </c>
      <c r="G367" s="1" t="s">
        <v>1034</v>
      </c>
      <c r="H367" s="1" t="s">
        <v>768</v>
      </c>
      <c r="I367" s="1" t="s">
        <v>357</v>
      </c>
      <c r="J367" s="1" t="s">
        <v>357</v>
      </c>
      <c r="K367" s="1" t="s">
        <v>31</v>
      </c>
      <c r="L367" s="1" t="s">
        <v>1037</v>
      </c>
      <c r="M367" s="1" t="s">
        <v>51</v>
      </c>
      <c r="N367" s="1" t="s">
        <v>737</v>
      </c>
      <c r="O367" s="1" t="s">
        <v>31</v>
      </c>
      <c r="P367" s="1" t="s">
        <v>1215</v>
      </c>
      <c r="Q367" s="1" t="s">
        <v>1039</v>
      </c>
      <c r="R367" s="1" t="s">
        <v>1054</v>
      </c>
      <c r="S367" s="1" t="s">
        <v>1041</v>
      </c>
      <c r="T367" s="1" t="s">
        <v>3988</v>
      </c>
      <c r="U367" s="1" t="s">
        <v>31</v>
      </c>
      <c r="V367" s="5"/>
      <c r="W367" s="5"/>
      <c r="X367" s="5"/>
      <c r="Y367" s="5"/>
      <c r="Z367" s="5"/>
    </row>
    <row r="368" ht="14.25" customHeight="1">
      <c r="A368" s="1" t="s">
        <v>4452</v>
      </c>
      <c r="B368" s="1">
        <v>1.1000057E7</v>
      </c>
      <c r="C368" s="1" t="str">
        <f>VLOOKUP(B368,Equipment!A$1:J$470,9,0)</f>
        <v>E</v>
      </c>
      <c r="D368" s="1" t="s">
        <v>260</v>
      </c>
      <c r="E368" s="1">
        <v>2501.0</v>
      </c>
      <c r="F368" s="1" t="s">
        <v>4455</v>
      </c>
      <c r="G368" s="1" t="s">
        <v>1034</v>
      </c>
      <c r="H368" s="1" t="s">
        <v>768</v>
      </c>
      <c r="I368" s="1" t="s">
        <v>357</v>
      </c>
      <c r="J368" s="1" t="s">
        <v>357</v>
      </c>
      <c r="K368" s="1" t="s">
        <v>219</v>
      </c>
      <c r="L368" s="1" t="s">
        <v>2797</v>
      </c>
      <c r="M368" s="1" t="s">
        <v>51</v>
      </c>
      <c r="N368" s="1" t="s">
        <v>737</v>
      </c>
      <c r="O368" s="1" t="s">
        <v>31</v>
      </c>
      <c r="P368" s="1" t="s">
        <v>789</v>
      </c>
      <c r="Q368" s="1" t="s">
        <v>1039</v>
      </c>
      <c r="R368" s="1" t="s">
        <v>1054</v>
      </c>
      <c r="S368" s="1" t="s">
        <v>1041</v>
      </c>
      <c r="T368" s="1" t="s">
        <v>4456</v>
      </c>
      <c r="U368" s="1" t="s">
        <v>31</v>
      </c>
      <c r="V368" s="5"/>
      <c r="W368" s="5"/>
      <c r="X368" s="5"/>
      <c r="Y368" s="5"/>
      <c r="Z368" s="5"/>
    </row>
    <row r="369" ht="14.25" customHeight="1">
      <c r="A369" s="1" t="s">
        <v>4457</v>
      </c>
      <c r="B369" s="1">
        <v>1.1000058E7</v>
      </c>
      <c r="C369" s="1" t="str">
        <f>VLOOKUP(B369,Equipment!A$1:J$470,9,0)</f>
        <v>E</v>
      </c>
      <c r="D369" s="1" t="s">
        <v>265</v>
      </c>
      <c r="E369" s="1">
        <v>2501.0</v>
      </c>
      <c r="F369" s="1" t="s">
        <v>4462</v>
      </c>
      <c r="G369" s="1" t="s">
        <v>1034</v>
      </c>
      <c r="H369" s="1" t="s">
        <v>768</v>
      </c>
      <c r="I369" s="1" t="s">
        <v>357</v>
      </c>
      <c r="J369" s="1" t="s">
        <v>357</v>
      </c>
      <c r="K369" s="1" t="s">
        <v>219</v>
      </c>
      <c r="L369" s="1" t="s">
        <v>2797</v>
      </c>
      <c r="M369" s="1" t="s">
        <v>51</v>
      </c>
      <c r="N369" s="1" t="s">
        <v>737</v>
      </c>
      <c r="O369" s="1" t="s">
        <v>31</v>
      </c>
      <c r="P369" s="1" t="s">
        <v>789</v>
      </c>
      <c r="Q369" s="1" t="s">
        <v>1039</v>
      </c>
      <c r="R369" s="1" t="s">
        <v>1054</v>
      </c>
      <c r="S369" s="1" t="s">
        <v>1041</v>
      </c>
      <c r="T369" s="1" t="s">
        <v>1055</v>
      </c>
      <c r="U369" s="1" t="s">
        <v>31</v>
      </c>
      <c r="V369" s="5"/>
      <c r="W369" s="5"/>
      <c r="X369" s="5"/>
      <c r="Y369" s="5"/>
      <c r="Z369" s="5"/>
    </row>
    <row r="370" ht="14.25" hidden="1" customHeight="1">
      <c r="A370" s="1" t="s">
        <v>4463</v>
      </c>
      <c r="B370" s="1">
        <v>1.1000252E7</v>
      </c>
      <c r="C370" s="1" t="str">
        <f>VLOOKUP(B370,Equipment!A$1:J$470,9,0)</f>
        <v>E</v>
      </c>
      <c r="D370" s="1" t="s">
        <v>505</v>
      </c>
      <c r="E370" s="1">
        <v>2001.0</v>
      </c>
      <c r="F370" s="1" t="s">
        <v>785</v>
      </c>
      <c r="G370" s="1" t="s">
        <v>131</v>
      </c>
      <c r="H370" s="1" t="s">
        <v>768</v>
      </c>
      <c r="I370" s="1" t="s">
        <v>357</v>
      </c>
      <c r="J370" s="1" t="s">
        <v>357</v>
      </c>
      <c r="K370" s="1" t="s">
        <v>357</v>
      </c>
      <c r="L370" s="1" t="s">
        <v>4464</v>
      </c>
      <c r="M370" s="1" t="s">
        <v>51</v>
      </c>
      <c r="N370" s="1" t="s">
        <v>737</v>
      </c>
      <c r="O370" s="1" t="s">
        <v>31</v>
      </c>
      <c r="P370" s="1" t="s">
        <v>789</v>
      </c>
      <c r="Q370" s="1" t="s">
        <v>777</v>
      </c>
      <c r="R370" s="1" t="s">
        <v>895</v>
      </c>
      <c r="S370" s="1" t="s">
        <v>779</v>
      </c>
      <c r="T370" s="1" t="s">
        <v>4465</v>
      </c>
      <c r="U370" s="1" t="s">
        <v>31</v>
      </c>
      <c r="V370" s="5"/>
      <c r="W370" s="5"/>
      <c r="X370" s="5"/>
      <c r="Y370" s="5"/>
      <c r="Z370" s="5"/>
    </row>
    <row r="371" ht="14.25" hidden="1" customHeight="1">
      <c r="A371" s="1" t="s">
        <v>4466</v>
      </c>
      <c r="B371" s="1">
        <v>1.1000256E7</v>
      </c>
      <c r="C371" s="1" t="str">
        <f>VLOOKUP(B371,Equipment!A$1:J$470,9,0)</f>
        <v>E</v>
      </c>
      <c r="D371" s="1" t="s">
        <v>523</v>
      </c>
      <c r="E371" s="1">
        <v>2001.0</v>
      </c>
      <c r="F371" s="1" t="s">
        <v>846</v>
      </c>
      <c r="G371" s="1" t="s">
        <v>131</v>
      </c>
      <c r="H371" s="1" t="s">
        <v>768</v>
      </c>
      <c r="I371" s="1" t="s">
        <v>357</v>
      </c>
      <c r="J371" s="1" t="s">
        <v>357</v>
      </c>
      <c r="K371" s="1" t="s">
        <v>357</v>
      </c>
      <c r="L371" s="1" t="s">
        <v>1947</v>
      </c>
      <c r="M371" s="1" t="s">
        <v>51</v>
      </c>
      <c r="N371" s="1" t="s">
        <v>737</v>
      </c>
      <c r="O371" s="1" t="s">
        <v>1948</v>
      </c>
      <c r="P371" s="1" t="s">
        <v>850</v>
      </c>
      <c r="Q371" s="1" t="s">
        <v>777</v>
      </c>
      <c r="R371" s="1" t="s">
        <v>928</v>
      </c>
      <c r="S371" s="1" t="s">
        <v>779</v>
      </c>
      <c r="T371" s="1" t="s">
        <v>1949</v>
      </c>
      <c r="U371" s="1" t="s">
        <v>31</v>
      </c>
      <c r="V371" s="5"/>
      <c r="W371" s="5"/>
      <c r="X371" s="5"/>
      <c r="Y371" s="5"/>
      <c r="Z371" s="5"/>
    </row>
    <row r="372" ht="14.25" hidden="1" customHeight="1">
      <c r="A372" s="1" t="s">
        <v>4467</v>
      </c>
      <c r="B372" s="1">
        <v>1.1000382E7</v>
      </c>
      <c r="C372" s="1" t="str">
        <f>VLOOKUP(B372,Equipment!A$1:J$470,9,0)</f>
        <v>E</v>
      </c>
      <c r="D372" s="1" t="s">
        <v>559</v>
      </c>
      <c r="E372" s="1">
        <v>1041.0</v>
      </c>
      <c r="F372" s="1" t="s">
        <v>4468</v>
      </c>
      <c r="G372" s="1" t="s">
        <v>68</v>
      </c>
      <c r="H372" s="1" t="s">
        <v>768</v>
      </c>
      <c r="I372" s="1" t="s">
        <v>357</v>
      </c>
      <c r="J372" s="1" t="s">
        <v>357</v>
      </c>
      <c r="K372" s="1" t="s">
        <v>219</v>
      </c>
      <c r="L372" s="1" t="s">
        <v>946</v>
      </c>
      <c r="M372" s="1" t="s">
        <v>51</v>
      </c>
      <c r="N372" s="1" t="s">
        <v>737</v>
      </c>
      <c r="O372" s="1" t="s">
        <v>31</v>
      </c>
      <c r="P372" s="1" t="s">
        <v>776</v>
      </c>
      <c r="Q372" s="1" t="s">
        <v>948</v>
      </c>
      <c r="R372" s="1" t="s">
        <v>949</v>
      </c>
      <c r="S372" s="1" t="s">
        <v>950</v>
      </c>
      <c r="T372" s="1" t="s">
        <v>952</v>
      </c>
      <c r="U372" s="1" t="s">
        <v>31</v>
      </c>
      <c r="V372" s="5"/>
      <c r="W372" s="5"/>
      <c r="X372" s="5"/>
      <c r="Y372" s="5"/>
      <c r="Z372" s="5"/>
    </row>
    <row r="373" ht="14.25" hidden="1" customHeight="1">
      <c r="A373" s="1" t="s">
        <v>4469</v>
      </c>
      <c r="B373" s="1">
        <v>1.1000383E7</v>
      </c>
      <c r="C373" s="1" t="str">
        <f>VLOOKUP(B373,Equipment!A$1:J$470,9,0)</f>
        <v>E</v>
      </c>
      <c r="D373" s="1" t="s">
        <v>861</v>
      </c>
      <c r="E373" s="1">
        <v>1041.0</v>
      </c>
      <c r="F373" s="1" t="s">
        <v>4470</v>
      </c>
      <c r="G373" s="1" t="s">
        <v>68</v>
      </c>
      <c r="H373" s="1" t="s">
        <v>768</v>
      </c>
      <c r="I373" s="1" t="s">
        <v>357</v>
      </c>
      <c r="J373" s="1" t="s">
        <v>357</v>
      </c>
      <c r="K373" s="1" t="s">
        <v>219</v>
      </c>
      <c r="L373" s="1" t="s">
        <v>946</v>
      </c>
      <c r="M373" s="1" t="s">
        <v>51</v>
      </c>
      <c r="N373" s="1" t="s">
        <v>737</v>
      </c>
      <c r="O373" s="1" t="s">
        <v>31</v>
      </c>
      <c r="P373" s="1" t="s">
        <v>776</v>
      </c>
      <c r="Q373" s="1" t="s">
        <v>948</v>
      </c>
      <c r="R373" s="1" t="s">
        <v>949</v>
      </c>
      <c r="S373" s="1" t="s">
        <v>950</v>
      </c>
      <c r="T373" s="1" t="s">
        <v>952</v>
      </c>
      <c r="U373" s="1" t="s">
        <v>31</v>
      </c>
      <c r="V373" s="5"/>
      <c r="W373" s="5"/>
      <c r="X373" s="5"/>
      <c r="Y373" s="5"/>
      <c r="Z373" s="5"/>
    </row>
    <row r="374" ht="14.25" hidden="1" customHeight="1">
      <c r="A374" s="1" t="s">
        <v>4471</v>
      </c>
      <c r="B374" s="1">
        <v>1.1000383E7</v>
      </c>
      <c r="C374" s="1" t="str">
        <f>VLOOKUP(B374,Equipment!A$1:J$470,9,0)</f>
        <v>E</v>
      </c>
      <c r="D374" s="1" t="s">
        <v>861</v>
      </c>
      <c r="E374" s="1">
        <v>1041.0</v>
      </c>
      <c r="F374" s="1" t="s">
        <v>4470</v>
      </c>
      <c r="G374" s="1" t="s">
        <v>68</v>
      </c>
      <c r="H374" s="1" t="s">
        <v>768</v>
      </c>
      <c r="I374" s="1" t="s">
        <v>357</v>
      </c>
      <c r="J374" s="1" t="s">
        <v>357</v>
      </c>
      <c r="K374" s="1" t="s">
        <v>219</v>
      </c>
      <c r="L374" s="1" t="s">
        <v>946</v>
      </c>
      <c r="M374" s="1" t="s">
        <v>51</v>
      </c>
      <c r="N374" s="1" t="s">
        <v>737</v>
      </c>
      <c r="O374" s="1" t="s">
        <v>31</v>
      </c>
      <c r="P374" s="1" t="s">
        <v>776</v>
      </c>
      <c r="Q374" s="1" t="s">
        <v>948</v>
      </c>
      <c r="R374" s="1" t="s">
        <v>949</v>
      </c>
      <c r="S374" s="1" t="s">
        <v>950</v>
      </c>
      <c r="T374" s="1" t="s">
        <v>952</v>
      </c>
      <c r="U374" s="1" t="s">
        <v>31</v>
      </c>
      <c r="V374" s="5"/>
      <c r="W374" s="5"/>
      <c r="X374" s="5"/>
      <c r="Y374" s="5"/>
      <c r="Z374" s="5"/>
    </row>
    <row r="375" ht="14.25" hidden="1" customHeight="1">
      <c r="A375" s="1" t="s">
        <v>4472</v>
      </c>
      <c r="B375" s="1">
        <v>1.1000384E7</v>
      </c>
      <c r="C375" s="1" t="str">
        <f>VLOOKUP(B375,Equipment!A$1:J$470,9,0)</f>
        <v>E</v>
      </c>
      <c r="D375" s="1" t="s">
        <v>575</v>
      </c>
      <c r="E375" s="1">
        <v>1041.0</v>
      </c>
      <c r="F375" s="1" t="s">
        <v>4473</v>
      </c>
      <c r="G375" s="1" t="s">
        <v>68</v>
      </c>
      <c r="H375" s="1" t="s">
        <v>768</v>
      </c>
      <c r="I375" s="1" t="s">
        <v>357</v>
      </c>
      <c r="J375" s="1" t="s">
        <v>357</v>
      </c>
      <c r="K375" s="1" t="s">
        <v>31</v>
      </c>
      <c r="L375" s="1" t="s">
        <v>3683</v>
      </c>
      <c r="M375" s="1" t="s">
        <v>51</v>
      </c>
      <c r="N375" s="1" t="s">
        <v>737</v>
      </c>
      <c r="O375" s="1" t="s">
        <v>31</v>
      </c>
      <c r="P375" s="1" t="s">
        <v>1262</v>
      </c>
      <c r="Q375" s="1" t="s">
        <v>948</v>
      </c>
      <c r="R375" s="1" t="s">
        <v>949</v>
      </c>
      <c r="S375" s="1" t="s">
        <v>950</v>
      </c>
      <c r="T375" s="1" t="s">
        <v>3684</v>
      </c>
      <c r="U375" s="1" t="s">
        <v>31</v>
      </c>
      <c r="V375" s="5"/>
      <c r="W375" s="5"/>
      <c r="X375" s="5"/>
      <c r="Y375" s="5"/>
      <c r="Z375" s="5"/>
    </row>
    <row r="376" ht="14.25" hidden="1" customHeight="1">
      <c r="A376" s="1" t="s">
        <v>4474</v>
      </c>
      <c r="B376" s="1">
        <v>1.1000439E7</v>
      </c>
      <c r="C376" s="1" t="str">
        <f>VLOOKUP(B376,Equipment!A$1:J$470,9,0)</f>
        <v>E</v>
      </c>
      <c r="D376" s="1" t="s">
        <v>894</v>
      </c>
      <c r="E376" s="1">
        <v>1041.0</v>
      </c>
      <c r="F376" s="1" t="s">
        <v>4475</v>
      </c>
      <c r="G376" s="1" t="s">
        <v>68</v>
      </c>
      <c r="H376" s="1" t="s">
        <v>768</v>
      </c>
      <c r="I376" s="1" t="s">
        <v>357</v>
      </c>
      <c r="J376" s="1" t="s">
        <v>357</v>
      </c>
      <c r="K376" s="1" t="s">
        <v>219</v>
      </c>
      <c r="L376" s="1" t="s">
        <v>1166</v>
      </c>
      <c r="M376" s="1" t="s">
        <v>51</v>
      </c>
      <c r="N376" s="1" t="s">
        <v>737</v>
      </c>
      <c r="O376" s="1" t="s">
        <v>31</v>
      </c>
      <c r="P376" s="1" t="s">
        <v>776</v>
      </c>
      <c r="Q376" s="1" t="s">
        <v>948</v>
      </c>
      <c r="R376" s="1" t="s">
        <v>949</v>
      </c>
      <c r="S376" s="1" t="s">
        <v>950</v>
      </c>
      <c r="T376" s="1" t="s">
        <v>1168</v>
      </c>
      <c r="U376" s="1" t="s">
        <v>31</v>
      </c>
      <c r="V376" s="5"/>
      <c r="W376" s="5"/>
      <c r="X376" s="5"/>
      <c r="Y376" s="5"/>
      <c r="Z376" s="5"/>
    </row>
    <row r="377" ht="14.25" hidden="1" customHeight="1">
      <c r="A377" s="1" t="s">
        <v>4476</v>
      </c>
      <c r="B377" s="1">
        <v>1.1000449E7</v>
      </c>
      <c r="C377" s="1" t="str">
        <f>VLOOKUP(B377,Equipment!A$1:J$470,9,0)</f>
        <v>E</v>
      </c>
      <c r="D377" s="1" t="s">
        <v>160</v>
      </c>
      <c r="E377" s="1">
        <v>1041.0</v>
      </c>
      <c r="F377" s="1" t="s">
        <v>4477</v>
      </c>
      <c r="G377" s="1" t="s">
        <v>68</v>
      </c>
      <c r="H377" s="1" t="s">
        <v>768</v>
      </c>
      <c r="I377" s="1" t="s">
        <v>357</v>
      </c>
      <c r="J377" s="1" t="s">
        <v>357</v>
      </c>
      <c r="K377" s="1" t="s">
        <v>219</v>
      </c>
      <c r="L377" s="1" t="s">
        <v>1954</v>
      </c>
      <c r="M377" s="1" t="s">
        <v>51</v>
      </c>
      <c r="N377" s="1" t="s">
        <v>737</v>
      </c>
      <c r="O377" s="1" t="s">
        <v>31</v>
      </c>
      <c r="P377" s="1" t="s">
        <v>776</v>
      </c>
      <c r="Q377" s="1" t="s">
        <v>948</v>
      </c>
      <c r="R377" s="1" t="s">
        <v>965</v>
      </c>
      <c r="S377" s="1" t="s">
        <v>950</v>
      </c>
      <c r="T377" s="1" t="s">
        <v>1956</v>
      </c>
      <c r="U377" s="1" t="s">
        <v>31</v>
      </c>
      <c r="V377" s="5"/>
      <c r="W377" s="5"/>
      <c r="X377" s="5"/>
      <c r="Y377" s="5"/>
      <c r="Z377" s="5"/>
    </row>
    <row r="378" ht="14.25" hidden="1" customHeight="1">
      <c r="A378" s="1" t="s">
        <v>4478</v>
      </c>
      <c r="B378" s="1">
        <v>1.1000574E7</v>
      </c>
      <c r="C378" s="1" t="str">
        <f>VLOOKUP(B378,Equipment!A$1:J$470,9,0)</f>
        <v>E</v>
      </c>
      <c r="D378" s="1" t="s">
        <v>1322</v>
      </c>
      <c r="E378" s="1">
        <v>1031.0</v>
      </c>
      <c r="F378" s="1" t="s">
        <v>4479</v>
      </c>
      <c r="G378" s="1" t="s">
        <v>491</v>
      </c>
      <c r="H378" s="1" t="s">
        <v>768</v>
      </c>
      <c r="I378" s="1" t="s">
        <v>357</v>
      </c>
      <c r="J378" s="1" t="s">
        <v>357</v>
      </c>
      <c r="K378" s="1" t="s">
        <v>31</v>
      </c>
      <c r="L378" s="1" t="s">
        <v>3162</v>
      </c>
      <c r="M378" s="1" t="s">
        <v>51</v>
      </c>
      <c r="N378" s="1" t="s">
        <v>737</v>
      </c>
      <c r="O378" s="1" t="s">
        <v>31</v>
      </c>
      <c r="P378" s="1" t="s">
        <v>789</v>
      </c>
      <c r="Q378" s="1" t="s">
        <v>948</v>
      </c>
      <c r="R378" s="1" t="s">
        <v>3164</v>
      </c>
      <c r="S378" s="1" t="s">
        <v>983</v>
      </c>
      <c r="T378" s="1" t="s">
        <v>4480</v>
      </c>
      <c r="U378" s="1" t="s">
        <v>31</v>
      </c>
      <c r="V378" s="5"/>
      <c r="W378" s="5"/>
      <c r="X378" s="5"/>
      <c r="Y378" s="5"/>
      <c r="Z378" s="5"/>
    </row>
    <row r="379" ht="14.25" customHeight="1">
      <c r="A379" s="1" t="s">
        <v>4482</v>
      </c>
      <c r="B379" s="1">
        <v>1.1000824E7</v>
      </c>
      <c r="C379" s="1" t="str">
        <f>VLOOKUP(B379,Equipment!A$1:J$470,9,0)</f>
        <v>E</v>
      </c>
      <c r="D379" s="1" t="s">
        <v>1879</v>
      </c>
      <c r="E379" s="1">
        <v>2501.0</v>
      </c>
      <c r="F379" s="1" t="s">
        <v>4483</v>
      </c>
      <c r="G379" s="1" t="s">
        <v>1034</v>
      </c>
      <c r="H379" s="1" t="s">
        <v>768</v>
      </c>
      <c r="I379" s="1" t="s">
        <v>357</v>
      </c>
      <c r="J379" s="1" t="s">
        <v>357</v>
      </c>
      <c r="K379" s="1" t="s">
        <v>63</v>
      </c>
      <c r="L379" s="1" t="s">
        <v>4484</v>
      </c>
      <c r="M379" s="1" t="s">
        <v>51</v>
      </c>
      <c r="N379" s="1" t="s">
        <v>737</v>
      </c>
      <c r="O379" s="1" t="s">
        <v>31</v>
      </c>
      <c r="P379" s="1" t="s">
        <v>1160</v>
      </c>
      <c r="Q379" s="1" t="s">
        <v>1039</v>
      </c>
      <c r="R379" s="1" t="s">
        <v>4485</v>
      </c>
      <c r="S379" s="1" t="s">
        <v>1041</v>
      </c>
      <c r="T379" s="1" t="s">
        <v>4486</v>
      </c>
      <c r="U379" s="1" t="s">
        <v>31</v>
      </c>
      <c r="V379" s="5"/>
      <c r="W379" s="5"/>
      <c r="X379" s="5"/>
      <c r="Y379" s="5"/>
      <c r="Z379" s="5"/>
    </row>
    <row r="380" ht="14.25" hidden="1" customHeight="1">
      <c r="A380" s="1" t="s">
        <v>4487</v>
      </c>
      <c r="B380" s="1">
        <v>1.1001362E7</v>
      </c>
      <c r="C380" s="1" t="str">
        <f>VLOOKUP(B380,Equipment!A$1:J$470,9,0)</f>
        <v>E</v>
      </c>
      <c r="D380" s="1" t="s">
        <v>2893</v>
      </c>
      <c r="E380" s="1">
        <v>1002.0</v>
      </c>
      <c r="F380" s="1" t="s">
        <v>2120</v>
      </c>
      <c r="G380" s="1" t="s">
        <v>131</v>
      </c>
      <c r="H380" s="1" t="s">
        <v>768</v>
      </c>
      <c r="I380" s="1" t="s">
        <v>357</v>
      </c>
      <c r="J380" s="1" t="s">
        <v>357</v>
      </c>
      <c r="K380" s="1" t="s">
        <v>357</v>
      </c>
      <c r="L380" s="1" t="s">
        <v>1016</v>
      </c>
      <c r="M380" s="1" t="s">
        <v>51</v>
      </c>
      <c r="N380" s="1" t="s">
        <v>737</v>
      </c>
      <c r="O380" s="1" t="s">
        <v>31</v>
      </c>
      <c r="P380" s="1" t="s">
        <v>1086</v>
      </c>
      <c r="Q380" s="1" t="s">
        <v>948</v>
      </c>
      <c r="R380" s="1" t="s">
        <v>1017</v>
      </c>
      <c r="S380" s="1" t="s">
        <v>1000</v>
      </c>
      <c r="T380" s="1" t="s">
        <v>4488</v>
      </c>
      <c r="U380" s="1" t="s">
        <v>31</v>
      </c>
      <c r="V380" s="5"/>
      <c r="W380" s="5"/>
      <c r="X380" s="5"/>
      <c r="Y380" s="5"/>
      <c r="Z380" s="5"/>
    </row>
    <row r="381" ht="14.25" hidden="1" customHeight="1">
      <c r="A381" s="1" t="s">
        <v>4489</v>
      </c>
      <c r="B381" s="1">
        <v>2.1000035E7</v>
      </c>
      <c r="C381" s="1" t="str">
        <f>VLOOKUP(B381,Equipment!A$1:J$470,9,0)</f>
        <v>U</v>
      </c>
      <c r="D381" s="1" t="s">
        <v>3167</v>
      </c>
      <c r="E381" s="1">
        <v>1001.0</v>
      </c>
      <c r="F381" s="1" t="s">
        <v>3741</v>
      </c>
      <c r="G381" s="1" t="s">
        <v>1233</v>
      </c>
      <c r="H381" s="1" t="s">
        <v>768</v>
      </c>
      <c r="I381" s="1" t="s">
        <v>357</v>
      </c>
      <c r="J381" s="1" t="s">
        <v>357</v>
      </c>
      <c r="K381" s="1" t="s">
        <v>357</v>
      </c>
      <c r="L381" s="1" t="s">
        <v>1237</v>
      </c>
      <c r="M381" s="1" t="s">
        <v>51</v>
      </c>
      <c r="N381" s="1" t="s">
        <v>737</v>
      </c>
      <c r="O381" s="1" t="s">
        <v>31</v>
      </c>
      <c r="P381" s="1" t="s">
        <v>789</v>
      </c>
      <c r="Q381" s="1" t="s">
        <v>948</v>
      </c>
      <c r="R381" s="1" t="s">
        <v>1082</v>
      </c>
      <c r="S381" s="1" t="s">
        <v>1139</v>
      </c>
      <c r="T381" s="1" t="s">
        <v>1140</v>
      </c>
      <c r="U381" s="1" t="s">
        <v>31</v>
      </c>
      <c r="V381" s="5"/>
      <c r="W381" s="5"/>
      <c r="X381" s="5"/>
      <c r="Y381" s="5"/>
      <c r="Z381" s="5"/>
    </row>
    <row r="382" ht="14.25" customHeight="1">
      <c r="A382" s="1" t="s">
        <v>4493</v>
      </c>
      <c r="B382" s="1">
        <v>1.1001429E7</v>
      </c>
      <c r="C382" s="1" t="str">
        <f>VLOOKUP(B382,Equipment!A$1:J$470,9,0)</f>
        <v>E</v>
      </c>
      <c r="D382" s="1" t="s">
        <v>3061</v>
      </c>
      <c r="E382" s="1">
        <v>2501.0</v>
      </c>
      <c r="F382" s="1" t="s">
        <v>4494</v>
      </c>
      <c r="G382" s="1" t="s">
        <v>1368</v>
      </c>
      <c r="H382" s="1" t="s">
        <v>768</v>
      </c>
      <c r="I382" s="1" t="s">
        <v>219</v>
      </c>
      <c r="J382" s="1" t="s">
        <v>219</v>
      </c>
      <c r="K382" s="1" t="s">
        <v>63</v>
      </c>
      <c r="L382" s="1" t="s">
        <v>4497</v>
      </c>
      <c r="M382" s="1" t="s">
        <v>51</v>
      </c>
      <c r="N382" s="1" t="s">
        <v>737</v>
      </c>
      <c r="O382" s="1" t="s">
        <v>31</v>
      </c>
      <c r="P382" s="1" t="s">
        <v>633</v>
      </c>
      <c r="Q382" s="1" t="s">
        <v>1039</v>
      </c>
      <c r="R382" s="1" t="s">
        <v>1377</v>
      </c>
      <c r="S382" s="1" t="s">
        <v>1041</v>
      </c>
      <c r="T382" s="1" t="s">
        <v>1378</v>
      </c>
      <c r="U382" s="1" t="s">
        <v>31</v>
      </c>
      <c r="V382" s="5"/>
      <c r="W382" s="5"/>
      <c r="X382" s="5"/>
      <c r="Y382" s="5"/>
      <c r="Z382" s="5"/>
    </row>
    <row r="383" ht="14.25" hidden="1" customHeight="1">
      <c r="A383" s="1" t="s">
        <v>4498</v>
      </c>
      <c r="B383" s="1">
        <v>1.1000398E7</v>
      </c>
      <c r="C383" s="1" t="str">
        <f>VLOOKUP(B383,Equipment!A$1:J$470,9,0)</f>
        <v>E</v>
      </c>
      <c r="D383" s="1" t="s">
        <v>916</v>
      </c>
      <c r="E383" s="1">
        <v>1041.0</v>
      </c>
      <c r="F383" s="1" t="s">
        <v>4499</v>
      </c>
      <c r="G383" s="1" t="s">
        <v>1412</v>
      </c>
      <c r="H383" s="1" t="s">
        <v>768</v>
      </c>
      <c r="I383" s="1" t="s">
        <v>162</v>
      </c>
      <c r="J383" s="1" t="s">
        <v>162</v>
      </c>
      <c r="K383" s="1" t="s">
        <v>63</v>
      </c>
      <c r="L383" s="1" t="s">
        <v>1413</v>
      </c>
      <c r="M383" s="1" t="s">
        <v>51</v>
      </c>
      <c r="N383" s="1" t="s">
        <v>737</v>
      </c>
      <c r="O383" s="1" t="s">
        <v>31</v>
      </c>
      <c r="P383" s="1" t="s">
        <v>1655</v>
      </c>
      <c r="Q383" s="1" t="s">
        <v>948</v>
      </c>
      <c r="R383" s="1" t="s">
        <v>1414</v>
      </c>
      <c r="S383" s="1" t="s">
        <v>950</v>
      </c>
      <c r="T383" s="1" t="s">
        <v>1415</v>
      </c>
      <c r="U383" s="1" t="s">
        <v>31</v>
      </c>
      <c r="V383" s="5"/>
      <c r="W383" s="5"/>
      <c r="X383" s="5"/>
      <c r="Y383" s="5"/>
      <c r="Z383" s="5"/>
    </row>
    <row r="384" ht="14.25" hidden="1" customHeight="1">
      <c r="A384" s="1" t="s">
        <v>4503</v>
      </c>
      <c r="B384" s="1">
        <v>1.1000493E7</v>
      </c>
      <c r="C384" s="1" t="str">
        <f>VLOOKUP(B384,Equipment!A$1:J$470,9,0)</f>
        <v>E</v>
      </c>
      <c r="D384" s="1" t="s">
        <v>206</v>
      </c>
      <c r="E384" s="1">
        <v>1041.0</v>
      </c>
      <c r="F384" s="1" t="s">
        <v>4506</v>
      </c>
      <c r="G384" s="1" t="s">
        <v>68</v>
      </c>
      <c r="H384" s="1" t="s">
        <v>768</v>
      </c>
      <c r="I384" s="1" t="s">
        <v>162</v>
      </c>
      <c r="J384" s="1" t="s">
        <v>162</v>
      </c>
      <c r="K384" s="1" t="s">
        <v>162</v>
      </c>
      <c r="L384" s="1" t="s">
        <v>964</v>
      </c>
      <c r="M384" s="1" t="s">
        <v>51</v>
      </c>
      <c r="N384" s="1" t="s">
        <v>737</v>
      </c>
      <c r="O384" s="1" t="s">
        <v>31</v>
      </c>
      <c r="P384" s="1" t="s">
        <v>776</v>
      </c>
      <c r="Q384" s="1" t="s">
        <v>948</v>
      </c>
      <c r="R384" s="1" t="s">
        <v>965</v>
      </c>
      <c r="S384" s="1" t="s">
        <v>950</v>
      </c>
      <c r="T384" s="1" t="s">
        <v>967</v>
      </c>
      <c r="U384" s="1" t="s">
        <v>31</v>
      </c>
      <c r="V384" s="5"/>
      <c r="W384" s="5"/>
      <c r="X384" s="5"/>
      <c r="Y384" s="5"/>
      <c r="Z384" s="5"/>
    </row>
    <row r="385" ht="14.25" hidden="1" customHeight="1">
      <c r="A385" s="1" t="s">
        <v>4507</v>
      </c>
      <c r="B385" s="1">
        <v>1.1000494E7</v>
      </c>
      <c r="C385" s="1" t="str">
        <f>VLOOKUP(B385,Equipment!A$1:J$470,9,0)</f>
        <v>E</v>
      </c>
      <c r="D385" s="1" t="s">
        <v>454</v>
      </c>
      <c r="E385" s="1">
        <v>1041.0</v>
      </c>
      <c r="F385" s="1" t="s">
        <v>4511</v>
      </c>
      <c r="G385" s="1" t="s">
        <v>68</v>
      </c>
      <c r="H385" s="1" t="s">
        <v>768</v>
      </c>
      <c r="I385" s="1" t="s">
        <v>162</v>
      </c>
      <c r="J385" s="1" t="s">
        <v>162</v>
      </c>
      <c r="K385" s="1" t="s">
        <v>63</v>
      </c>
      <c r="L385" s="1" t="s">
        <v>964</v>
      </c>
      <c r="M385" s="1" t="s">
        <v>51</v>
      </c>
      <c r="N385" s="1" t="s">
        <v>737</v>
      </c>
      <c r="O385" s="1" t="s">
        <v>31</v>
      </c>
      <c r="P385" s="1" t="s">
        <v>776</v>
      </c>
      <c r="Q385" s="1" t="s">
        <v>948</v>
      </c>
      <c r="R385" s="1" t="s">
        <v>965</v>
      </c>
      <c r="S385" s="1" t="s">
        <v>950</v>
      </c>
      <c r="T385" s="1" t="s">
        <v>967</v>
      </c>
      <c r="U385" s="1" t="s">
        <v>31</v>
      </c>
      <c r="V385" s="5"/>
      <c r="W385" s="5"/>
      <c r="X385" s="5"/>
      <c r="Y385" s="5"/>
      <c r="Z385" s="5"/>
    </row>
    <row r="386" ht="14.25" hidden="1" customHeight="1">
      <c r="A386" s="1" t="s">
        <v>4515</v>
      </c>
      <c r="B386" s="1">
        <v>1.1000501E7</v>
      </c>
      <c r="C386" s="1" t="str">
        <f>VLOOKUP(B386,Equipment!A$1:J$470,9,0)</f>
        <v>E</v>
      </c>
      <c r="D386" s="1" t="s">
        <v>1060</v>
      </c>
      <c r="E386" s="1">
        <v>1041.0</v>
      </c>
      <c r="F386" s="1" t="s">
        <v>4516</v>
      </c>
      <c r="G386" s="1" t="s">
        <v>68</v>
      </c>
      <c r="H386" s="1" t="s">
        <v>768</v>
      </c>
      <c r="I386" s="1" t="s">
        <v>63</v>
      </c>
      <c r="J386" s="1" t="s">
        <v>63</v>
      </c>
      <c r="K386" s="1" t="s">
        <v>31</v>
      </c>
      <c r="L386" s="1" t="s">
        <v>4112</v>
      </c>
      <c r="M386" s="1" t="s">
        <v>51</v>
      </c>
      <c r="N386" s="1" t="s">
        <v>737</v>
      </c>
      <c r="O386" s="1" t="s">
        <v>31</v>
      </c>
      <c r="P386" s="1" t="s">
        <v>776</v>
      </c>
      <c r="Q386" s="1" t="s">
        <v>948</v>
      </c>
      <c r="R386" s="1" t="s">
        <v>965</v>
      </c>
      <c r="S386" s="1" t="s">
        <v>950</v>
      </c>
      <c r="T386" s="1" t="s">
        <v>3560</v>
      </c>
      <c r="U386" s="1" t="s">
        <v>31</v>
      </c>
      <c r="V386" s="5"/>
      <c r="W386" s="5"/>
      <c r="X386" s="5"/>
      <c r="Y386" s="5"/>
      <c r="Z386" s="5"/>
    </row>
    <row r="387" ht="14.25" hidden="1" customHeight="1">
      <c r="A387" s="1" t="s">
        <v>4519</v>
      </c>
      <c r="B387" s="1">
        <v>1.1000502E7</v>
      </c>
      <c r="C387" s="1" t="str">
        <f>VLOOKUP(B387,Equipment!A$1:J$470,9,0)</f>
        <v>E</v>
      </c>
      <c r="D387" s="1" t="s">
        <v>1073</v>
      </c>
      <c r="E387" s="1">
        <v>1041.0</v>
      </c>
      <c r="F387" s="1" t="s">
        <v>4525</v>
      </c>
      <c r="G387" s="1" t="s">
        <v>68</v>
      </c>
      <c r="H387" s="1" t="s">
        <v>768</v>
      </c>
      <c r="I387" s="1" t="s">
        <v>63</v>
      </c>
      <c r="J387" s="1" t="s">
        <v>63</v>
      </c>
      <c r="K387" s="1" t="s">
        <v>63</v>
      </c>
      <c r="L387" s="1" t="s">
        <v>1429</v>
      </c>
      <c r="M387" s="1" t="s">
        <v>51</v>
      </c>
      <c r="N387" s="1" t="s">
        <v>737</v>
      </c>
      <c r="O387" s="1" t="s">
        <v>4526</v>
      </c>
      <c r="P387" s="1" t="s">
        <v>776</v>
      </c>
      <c r="Q387" s="1" t="s">
        <v>948</v>
      </c>
      <c r="R387" s="1" t="s">
        <v>965</v>
      </c>
      <c r="S387" s="1" t="s">
        <v>950</v>
      </c>
      <c r="T387" s="1" t="s">
        <v>3560</v>
      </c>
      <c r="U387" s="1" t="s">
        <v>31</v>
      </c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U$387">
    <filterColumn colId="2">
      <filters>
        <filter val="E"/>
      </filters>
    </filterColumn>
    <filterColumn colId="4">
      <filters>
        <filter val="2501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2026-09-29T05:46:20Z</dcterms:created>
  <dc:creator>Aradhana Dash</dc:creator>
</cp:coreProperties>
</file>